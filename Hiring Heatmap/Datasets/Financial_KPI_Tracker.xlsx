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 V Pavan\Syncner\Data Analyst\Phase 3\Hiring Heatmap\Datasets\"/>
    </mc:Choice>
  </mc:AlternateContent>
  <xr:revisionPtr revIDLastSave="0" documentId="13_ncr:1_{D815D1B0-8739-4BAF-82EB-AD73120580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w Data" sheetId="1" r:id="rId1"/>
    <sheet name="Dashboar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  <c r="C3" i="2"/>
  <c r="C4" i="2"/>
  <c r="C5" i="2"/>
  <c r="C6" i="2"/>
  <c r="C7" i="2"/>
  <c r="C8" i="2"/>
  <c r="C9" i="2"/>
  <c r="C10" i="2"/>
  <c r="C11" i="2"/>
  <c r="C12" i="2"/>
  <c r="C13" i="2"/>
  <c r="C2" i="2"/>
  <c r="A2" i="2"/>
</calcChain>
</file>

<file path=xl/sharedStrings.xml><?xml version="1.0" encoding="utf-8"?>
<sst xmlns="http://schemas.openxmlformats.org/spreadsheetml/2006/main" count="21" uniqueCount="21">
  <si>
    <t>Month</t>
  </si>
  <si>
    <t>Revenue</t>
  </si>
  <si>
    <t>Marketing Spend</t>
  </si>
  <si>
    <t>New Customers</t>
  </si>
  <si>
    <t>Total Customers at Start</t>
  </si>
  <si>
    <t>Operating 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</si>
  <si>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</si>
  <si>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</si>
  <si>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</si>
  <si>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</si>
  <si>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</si>
  <si>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</si>
  <si>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</si>
  <si>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</si>
  <si>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</si>
  <si>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</si>
  <si>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</si>
  <si>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</si>
  <si>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Recurring Revenue (MRR)</t>
  </si>
  <si>
    <t>Customer Acquisition Cost (CAC)</t>
  </si>
  <si>
    <t>Burn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</si>
</sst>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MRR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13500</c:v>
                </c:pt>
                <c:pt idx="2">
                  <c:v>15000</c:v>
                </c:pt>
                <c:pt idx="3">
                  <c:v>16500</c:v>
                </c:pt>
                <c:pt idx="4">
                  <c:v>18000</c:v>
                </c:pt>
                <c:pt idx="5">
                  <c:v>19500</c:v>
                </c:pt>
                <c:pt idx="6">
                  <c:v>21000</c:v>
                </c:pt>
                <c:pt idx="7">
                  <c:v>22500</c:v>
                </c:pt>
                <c:pt idx="8">
                  <c:v>24000</c:v>
                </c:pt>
                <c:pt idx="9">
                  <c:v>26000</c:v>
                </c:pt>
                <c:pt idx="10">
                  <c:v>28000</c:v>
                </c:pt>
                <c:pt idx="1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5-4069-A598-E82C4A610A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50350288"/>
        <c:axId val="1450350768"/>
      </c:lineChart>
      <c:catAx>
        <c:axId val="145035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50768"/>
        <c:crosses val="autoZero"/>
        <c:auto val="1"/>
        <c:lblAlgn val="ctr"/>
        <c:lblOffset val="100"/>
        <c:noMultiLvlLbl val="0"/>
      </c:catAx>
      <c:valAx>
        <c:axId val="1450350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035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Acquisition Cost (CAC)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</c:f>
              <c:strCache>
                <c:ptCount val="1"/>
                <c:pt idx="0">
                  <c:v>Customer Acquisition Cost (CAC)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Dashboard!$C$2:$C$13</c:f>
              <c:numCache>
                <c:formatCode>0.00</c:formatCode>
                <c:ptCount val="12"/>
                <c:pt idx="0">
                  <c:v>75</c:v>
                </c:pt>
                <c:pt idx="1">
                  <c:v>71.111111111111114</c:v>
                </c:pt>
                <c:pt idx="2">
                  <c:v>70</c:v>
                </c:pt>
                <c:pt idx="3">
                  <c:v>73.07692307692308</c:v>
                </c:pt>
                <c:pt idx="4">
                  <c:v>72.727272727272734</c:v>
                </c:pt>
                <c:pt idx="5">
                  <c:v>72.41379310344827</c:v>
                </c:pt>
                <c:pt idx="6">
                  <c:v>69.354838709677423</c:v>
                </c:pt>
                <c:pt idx="7">
                  <c:v>67.692307692307693</c:v>
                </c:pt>
                <c:pt idx="8">
                  <c:v>66.17647058823529</c:v>
                </c:pt>
                <c:pt idx="9">
                  <c:v>67.142857142857139</c:v>
                </c:pt>
                <c:pt idx="10">
                  <c:v>65.333333333333329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2-4FD2-95D2-0001F1650B29}"/>
            </c:ext>
          </c:extLst>
        </c:ser>
        <c:ser>
          <c:idx val="1"/>
          <c:order val="1"/>
          <c:tx>
            <c:strRef>
              <c:f>'Raw Data'!$A$1:$A$12</c:f>
              <c:strCache>
                <c:ptCount val="12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'Raw Data'!$A$13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2-4FD2-95D2-0001F165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78982720"/>
        <c:axId val="1778989920"/>
      </c:barChart>
      <c:catAx>
        <c:axId val="1778982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89920"/>
        <c:crosses val="autoZero"/>
        <c:auto val="1"/>
        <c:lblAlgn val="ctr"/>
        <c:lblOffset val="100"/>
        <c:noMultiLvlLbl val="0"/>
      </c:catAx>
      <c:valAx>
        <c:axId val="1778989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8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Burn Rate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Dashboard!$E$1</c:f>
              <c:strCache>
                <c:ptCount val="1"/>
                <c:pt idx="0">
                  <c:v>Burn Rate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Dashboard!$E$2:$E$13</c:f>
              <c:numCache>
                <c:formatCode>General</c:formatCode>
                <c:ptCount val="12"/>
                <c:pt idx="0">
                  <c:v>-4000</c:v>
                </c:pt>
                <c:pt idx="1">
                  <c:v>-5300</c:v>
                </c:pt>
                <c:pt idx="2">
                  <c:v>-6500</c:v>
                </c:pt>
                <c:pt idx="3">
                  <c:v>-7700</c:v>
                </c:pt>
                <c:pt idx="4">
                  <c:v>-9000</c:v>
                </c:pt>
                <c:pt idx="5">
                  <c:v>-10200</c:v>
                </c:pt>
                <c:pt idx="6">
                  <c:v>-11500</c:v>
                </c:pt>
                <c:pt idx="7">
                  <c:v>-12800</c:v>
                </c:pt>
                <c:pt idx="8">
                  <c:v>-14100</c:v>
                </c:pt>
                <c:pt idx="9">
                  <c:v>-16000</c:v>
                </c:pt>
                <c:pt idx="10">
                  <c:v>-17800</c:v>
                </c:pt>
                <c:pt idx="11">
                  <c:v>-19500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D-4182-9CD1-555EC034EE19}"/>
            </c:ext>
          </c:extLst>
        </c:ser>
        <c:ser>
          <c:idx val="1"/>
          <c:order val="1"/>
          <c:tx>
            <c:strRef>
              <c:f>'Raw Data'!$A$1:$A$12</c:f>
              <c:strCache>
                <c:ptCount val="12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'Raw Data'!$A$13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DD-4182-9CD1-555EC034E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021600"/>
        <c:axId val="1779012000"/>
      </c:lineChart>
      <c:catAx>
        <c:axId val="1779021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012000"/>
        <c:crosses val="autoZero"/>
        <c:auto val="1"/>
        <c:lblAlgn val="ctr"/>
        <c:lblOffset val="100"/>
        <c:noMultiLvlLbl val="0"/>
      </c:catAx>
      <c:valAx>
        <c:axId val="1779012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02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14</xdr:row>
      <xdr:rowOff>121920</xdr:rowOff>
    </xdr:from>
    <xdr:to>
      <xdr:col>2</xdr:col>
      <xdr:colOff>1470660</xdr:colOff>
      <xdr:row>29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C204A0-3CB8-4863-82D7-CE4645EA6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17</xdr:row>
      <xdr:rowOff>175260</xdr:rowOff>
    </xdr:from>
    <xdr:to>
      <xdr:col>8</xdr:col>
      <xdr:colOff>144780</xdr:colOff>
      <xdr:row>32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23884C-0ADB-96C8-70B4-E198BE11F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1</xdr:row>
      <xdr:rowOff>38100</xdr:rowOff>
    </xdr:from>
    <xdr:to>
      <xdr:col>13</xdr:col>
      <xdr:colOff>525780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8766A3-150B-0E86-7437-69BEEE8F8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Dashboard"/>
      <sheetName val="Data"/>
    </sheetNames>
    <sheetDataSet>
      <sheetData sheetId="0">
        <row r="2">
          <cell r="B2">
            <v>12000</v>
          </cell>
        </row>
        <row r="3">
          <cell r="B3">
            <v>13500</v>
          </cell>
        </row>
        <row r="4">
          <cell r="B4">
            <v>15000</v>
          </cell>
        </row>
        <row r="5">
          <cell r="B5">
            <v>16500</v>
          </cell>
        </row>
        <row r="6">
          <cell r="B6">
            <v>18000</v>
          </cell>
        </row>
        <row r="7">
          <cell r="B7">
            <v>19500</v>
          </cell>
        </row>
        <row r="8">
          <cell r="B8">
            <v>21000</v>
          </cell>
        </row>
        <row r="9">
          <cell r="B9">
            <v>22500</v>
          </cell>
        </row>
        <row r="10">
          <cell r="B10">
            <v>24000</v>
          </cell>
        </row>
        <row r="11">
          <cell r="B11">
            <v>26000</v>
          </cell>
        </row>
        <row r="12">
          <cell r="B12">
            <v>28000</v>
          </cell>
        </row>
        <row r="13">
          <cell r="B13">
            <v>30000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22" sqref="F22"/>
    </sheetView>
  </sheetViews>
  <sheetFormatPr defaultRowHeight="14.4" x14ac:dyDescent="0.3"/>
  <cols>
    <col min="1" max="1" width="10.77734375" customWidth="1"/>
    <col min="2" max="2" width="12.33203125" customWidth="1"/>
    <col min="3" max="3" width="20.33203125" customWidth="1"/>
    <col min="4" max="4" width="18" customWidth="1"/>
    <col min="5" max="5" width="25.21875" customWidth="1"/>
    <col min="6" max="6" width="22" customWidth="1"/>
  </cols>
  <sheetData>
    <row r="1" spans="1:6" ht="16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>
        <v>12000</v>
      </c>
      <c r="C2" s="1">
        <v>3000</v>
      </c>
      <c r="D2" s="1">
        <v>40</v>
      </c>
      <c r="E2" s="1">
        <v>200</v>
      </c>
      <c r="F2" s="1">
        <v>8000</v>
      </c>
    </row>
    <row r="3" spans="1:6" x14ac:dyDescent="0.3">
      <c r="A3" s="1" t="s">
        <v>7</v>
      </c>
      <c r="B3" s="1">
        <v>13500</v>
      </c>
      <c r="C3" s="1">
        <v>3200</v>
      </c>
      <c r="D3" s="1">
        <v>45</v>
      </c>
      <c r="E3" s="1">
        <v>240</v>
      </c>
      <c r="F3" s="1">
        <v>8200</v>
      </c>
    </row>
    <row r="4" spans="1:6" x14ac:dyDescent="0.3">
      <c r="A4" s="1" t="s">
        <v>8</v>
      </c>
      <c r="B4" s="1">
        <v>15000</v>
      </c>
      <c r="C4" s="1">
        <v>3500</v>
      </c>
      <c r="D4" s="1">
        <v>50</v>
      </c>
      <c r="E4" s="1">
        <v>285</v>
      </c>
      <c r="F4" s="1">
        <v>8500</v>
      </c>
    </row>
    <row r="5" spans="1:6" x14ac:dyDescent="0.3">
      <c r="A5" s="1" t="s">
        <v>9</v>
      </c>
      <c r="B5" s="1">
        <v>16500</v>
      </c>
      <c r="C5" s="1">
        <v>3800</v>
      </c>
      <c r="D5" s="1">
        <v>52</v>
      </c>
      <c r="E5" s="1">
        <v>335</v>
      </c>
      <c r="F5" s="1">
        <v>8800</v>
      </c>
    </row>
    <row r="6" spans="1:6" x14ac:dyDescent="0.3">
      <c r="A6" s="1" t="s">
        <v>10</v>
      </c>
      <c r="B6" s="1">
        <v>18000</v>
      </c>
      <c r="C6" s="1">
        <v>4000</v>
      </c>
      <c r="D6" s="1">
        <v>55</v>
      </c>
      <c r="E6" s="1">
        <v>387</v>
      </c>
      <c r="F6" s="1">
        <v>9000</v>
      </c>
    </row>
    <row r="7" spans="1:6" x14ac:dyDescent="0.3">
      <c r="A7" s="1" t="s">
        <v>11</v>
      </c>
      <c r="B7" s="1">
        <v>19500</v>
      </c>
      <c r="C7" s="1">
        <v>4200</v>
      </c>
      <c r="D7" s="1">
        <v>58</v>
      </c>
      <c r="E7" s="1">
        <v>442</v>
      </c>
      <c r="F7" s="1">
        <v>9300</v>
      </c>
    </row>
    <row r="8" spans="1:6" x14ac:dyDescent="0.3">
      <c r="A8" s="1" t="s">
        <v>12</v>
      </c>
      <c r="B8" s="1">
        <v>21000</v>
      </c>
      <c r="C8" s="1">
        <v>4300</v>
      </c>
      <c r="D8" s="1">
        <v>62</v>
      </c>
      <c r="E8" s="1">
        <v>500</v>
      </c>
      <c r="F8" s="1">
        <v>9500</v>
      </c>
    </row>
    <row r="9" spans="1:6" x14ac:dyDescent="0.3">
      <c r="A9" s="1" t="s">
        <v>13</v>
      </c>
      <c r="B9" s="1">
        <v>22500</v>
      </c>
      <c r="C9" s="1">
        <v>4400</v>
      </c>
      <c r="D9" s="1">
        <v>65</v>
      </c>
      <c r="E9" s="1">
        <v>562</v>
      </c>
      <c r="F9" s="1">
        <v>9700</v>
      </c>
    </row>
    <row r="10" spans="1:6" x14ac:dyDescent="0.3">
      <c r="A10" s="1" t="s">
        <v>14</v>
      </c>
      <c r="B10" s="1">
        <v>24000</v>
      </c>
      <c r="C10" s="1">
        <v>4500</v>
      </c>
      <c r="D10" s="1">
        <v>68</v>
      </c>
      <c r="E10" s="1">
        <v>627</v>
      </c>
      <c r="F10" s="1">
        <v>9900</v>
      </c>
    </row>
    <row r="11" spans="1:6" x14ac:dyDescent="0.3">
      <c r="A11" s="1" t="s">
        <v>15</v>
      </c>
      <c r="B11" s="1">
        <v>26000</v>
      </c>
      <c r="C11" s="1">
        <v>4700</v>
      </c>
      <c r="D11" s="1">
        <v>70</v>
      </c>
      <c r="E11" s="1">
        <v>695</v>
      </c>
      <c r="F11" s="1">
        <v>10000</v>
      </c>
    </row>
    <row r="12" spans="1:6" x14ac:dyDescent="0.3">
      <c r="A12" s="1" t="s">
        <v>16</v>
      </c>
      <c r="B12" s="1">
        <v>28000</v>
      </c>
      <c r="C12" s="1">
        <v>4900</v>
      </c>
      <c r="D12" s="1">
        <v>75</v>
      </c>
      <c r="E12" s="1">
        <v>765</v>
      </c>
      <c r="F12" s="1">
        <v>10200</v>
      </c>
    </row>
    <row r="13" spans="1:6" x14ac:dyDescent="0.3">
      <c r="A13" s="1" t="s">
        <v>17</v>
      </c>
      <c r="B13" s="1">
        <v>30000</v>
      </c>
      <c r="C13" s="1">
        <v>5200</v>
      </c>
      <c r="D13" s="1">
        <v>80</v>
      </c>
      <c r="E13" s="1">
        <v>840</v>
      </c>
      <c r="F13" s="1">
        <v>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7EEA-BD10-4F2B-AE6A-6710FF5B7785}">
  <dimension ref="A1:E13"/>
  <sheetViews>
    <sheetView workbookViewId="0">
      <selection activeCell="L25" sqref="L25"/>
    </sheetView>
  </sheetViews>
  <sheetFormatPr defaultRowHeight="14.4" x14ac:dyDescent="0.3"/>
  <cols>
    <col min="1" max="1" width="34.44140625" customWidth="1"/>
    <col min="2" max="2" width="12.77734375" customWidth="1"/>
    <col min="3" max="3" width="28.44140625" style="4" customWidth="1"/>
    <col min="4" max="4" width="18.109375" customWidth="1"/>
    <col min="5" max="5" width="15.5546875" customWidth="1"/>
    <col min="6" max="6" width="13.33203125" customWidth="1"/>
  </cols>
  <sheetData>
    <row r="1" spans="1:5" ht="15.6" x14ac:dyDescent="0.3">
      <c r="A1" s="3" t="s">
        <v>18</v>
      </c>
      <c r="C1" s="5" t="s">
        <v>19</v>
      </c>
      <c r="E1" s="8" t="s">
        <v>20</v>
      </c>
    </row>
    <row r="2" spans="1:5" ht="15.6" x14ac:dyDescent="0.3">
      <c r="A2" s="3">
        <f>SUM('[1]Raw Data'!B2:B13)</f>
        <v>246000</v>
      </c>
      <c r="C2" s="6">
        <f xml:space="preserve"> 'Raw Data'!C2 / 'Raw Data'!D2</f>
        <v>75</v>
      </c>
      <c r="E2" s="7">
        <f xml:space="preserve"> 'Raw Data'!F2 - 'Raw Data'!B2</f>
        <v>-4000</v>
      </c>
    </row>
    <row r="3" spans="1:5" x14ac:dyDescent="0.3">
      <c r="C3" s="6">
        <f xml:space="preserve"> 'Raw Data'!C3 / 'Raw Data'!D3</f>
        <v>71.111111111111114</v>
      </c>
      <c r="E3" s="7">
        <f xml:space="preserve"> 'Raw Data'!F3 - 'Raw Data'!B3</f>
        <v>-5300</v>
      </c>
    </row>
    <row r="4" spans="1:5" x14ac:dyDescent="0.3">
      <c r="C4" s="6">
        <f xml:space="preserve"> 'Raw Data'!C4 / 'Raw Data'!D4</f>
        <v>70</v>
      </c>
      <c r="E4" s="7">
        <f xml:space="preserve"> 'Raw Data'!F4 - 'Raw Data'!B4</f>
        <v>-6500</v>
      </c>
    </row>
    <row r="5" spans="1:5" x14ac:dyDescent="0.3">
      <c r="C5" s="6">
        <f xml:space="preserve"> 'Raw Data'!C5 / 'Raw Data'!D5</f>
        <v>73.07692307692308</v>
      </c>
      <c r="E5" s="7">
        <f xml:space="preserve"> 'Raw Data'!F5 - 'Raw Data'!B5</f>
        <v>-7700</v>
      </c>
    </row>
    <row r="6" spans="1:5" x14ac:dyDescent="0.3">
      <c r="C6" s="6">
        <f xml:space="preserve"> 'Raw Data'!C6 / 'Raw Data'!D6</f>
        <v>72.727272727272734</v>
      </c>
      <c r="E6" s="7">
        <f xml:space="preserve"> 'Raw Data'!F6 - 'Raw Data'!B6</f>
        <v>-9000</v>
      </c>
    </row>
    <row r="7" spans="1:5" x14ac:dyDescent="0.3">
      <c r="C7" s="6">
        <f xml:space="preserve"> 'Raw Data'!C7 / 'Raw Data'!D7</f>
        <v>72.41379310344827</v>
      </c>
      <c r="E7" s="7">
        <f xml:space="preserve"> 'Raw Data'!F7 - 'Raw Data'!B7</f>
        <v>-10200</v>
      </c>
    </row>
    <row r="8" spans="1:5" x14ac:dyDescent="0.3">
      <c r="C8" s="6">
        <f xml:space="preserve"> 'Raw Data'!C8 / 'Raw Data'!D8</f>
        <v>69.354838709677423</v>
      </c>
      <c r="E8" s="7">
        <f xml:space="preserve"> 'Raw Data'!F8 - 'Raw Data'!B8</f>
        <v>-11500</v>
      </c>
    </row>
    <row r="9" spans="1:5" x14ac:dyDescent="0.3">
      <c r="C9" s="6">
        <f xml:space="preserve"> 'Raw Data'!C9 / 'Raw Data'!D9</f>
        <v>67.692307692307693</v>
      </c>
      <c r="E9" s="7">
        <f xml:space="preserve"> 'Raw Data'!F9 - 'Raw Data'!B9</f>
        <v>-12800</v>
      </c>
    </row>
    <row r="10" spans="1:5" x14ac:dyDescent="0.3">
      <c r="C10" s="6">
        <f xml:space="preserve"> 'Raw Data'!C10 / 'Raw Data'!D10</f>
        <v>66.17647058823529</v>
      </c>
      <c r="E10" s="7">
        <f xml:space="preserve"> 'Raw Data'!F10 - 'Raw Data'!B10</f>
        <v>-14100</v>
      </c>
    </row>
    <row r="11" spans="1:5" x14ac:dyDescent="0.3">
      <c r="C11" s="6">
        <f xml:space="preserve"> 'Raw Data'!C11 / 'Raw Data'!D11</f>
        <v>67.142857142857139</v>
      </c>
      <c r="E11" s="7">
        <f xml:space="preserve"> 'Raw Data'!F11 - 'Raw Data'!B11</f>
        <v>-16000</v>
      </c>
    </row>
    <row r="12" spans="1:5" x14ac:dyDescent="0.3">
      <c r="C12" s="6">
        <f xml:space="preserve"> 'Raw Data'!C12 / 'Raw Data'!D12</f>
        <v>65.333333333333329</v>
      </c>
      <c r="E12" s="7">
        <f xml:space="preserve"> 'Raw Data'!F12 - 'Raw Data'!B12</f>
        <v>-17800</v>
      </c>
    </row>
    <row r="13" spans="1:5" x14ac:dyDescent="0.3">
      <c r="C13" s="6">
        <f xml:space="preserve"> 'Raw Data'!C13 / 'Raw Data'!D13</f>
        <v>65</v>
      </c>
      <c r="E13" s="7">
        <f xml:space="preserve"> 'Raw Data'!F13 - 'Raw Data'!B13</f>
        <v>-19500</v>
      </c>
    </row>
  </sheetData>
  <conditionalFormatting sqref="E1:E13">
    <cfRule type="cellIs" dxfId="1" priority="2" operator="greaterThan">
      <formula>0</formula>
    </cfRule>
  </conditionalFormatting>
  <conditionalFormatting sqref="E2:E13">
    <cfRule type="cellIs" dxfId="0" priority="1" operator="greaterThan">
      <formula>-10000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Pavan R V</cp:lastModifiedBy>
  <dcterms:created xsi:type="dcterms:W3CDTF">2015-06-05T18:17:20Z</dcterms:created>
  <dcterms:modified xsi:type="dcterms:W3CDTF">2025-12-01T14:59:52Z</dcterms:modified>
</cp:coreProperties>
</file>