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 V Pavan\Training\Data Analyst\Phase 3\Quiz Forge\51.1\"/>
    </mc:Choice>
  </mc:AlternateContent>
  <xr:revisionPtr revIDLastSave="0" documentId="13_ncr:1_{53E791B0-B15A-4C0B-A64B-2E7797C86B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s_Data" sheetId="1" r:id="rId1"/>
    <sheet name="Inputs_Assumptions" sheetId="2" r:id="rId2"/>
    <sheet name="Monthly_KPIs" sheetId="3" r:id="rId3"/>
    <sheet name="Summary_Char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3" l="1"/>
  <c r="F6" i="3"/>
  <c r="F15" i="4"/>
  <c r="F14" i="4"/>
  <c r="F13" i="4"/>
  <c r="F12" i="4"/>
  <c r="F5" i="4"/>
  <c r="F4" i="4"/>
  <c r="E15" i="4"/>
  <c r="E14" i="4"/>
  <c r="E13" i="4"/>
  <c r="E12" i="4"/>
  <c r="E11" i="4"/>
  <c r="E10" i="4"/>
  <c r="E9" i="4"/>
  <c r="E5" i="4"/>
  <c r="E4" i="4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C4" i="4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B15" i="4"/>
  <c r="B14" i="4"/>
  <c r="B13" i="4"/>
  <c r="B12" i="4"/>
  <c r="B11" i="4"/>
  <c r="B10" i="4"/>
  <c r="B9" i="4"/>
  <c r="B8" i="4"/>
  <c r="B7" i="4"/>
  <c r="B6" i="4"/>
  <c r="B5" i="4"/>
  <c r="B4" i="4"/>
  <c r="I3" i="3"/>
  <c r="I2" i="3"/>
  <c r="F3" i="3"/>
  <c r="F4" i="3"/>
  <c r="F5" i="3"/>
  <c r="F7" i="3"/>
  <c r="F8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  <c r="D4" i="3"/>
  <c r="D5" i="3" s="1"/>
  <c r="D6" i="3" s="1"/>
  <c r="D7" i="3" s="1"/>
  <c r="D8" i="3" s="1"/>
  <c r="D9" i="3" s="1"/>
  <c r="D10" i="3" s="1"/>
  <c r="D11" i="3" s="1"/>
  <c r="D12" i="3" s="1"/>
  <c r="D13" i="3" s="1"/>
  <c r="D3" i="3"/>
  <c r="C4" i="3"/>
  <c r="C5" i="3" s="1"/>
  <c r="C6" i="3" s="1"/>
  <c r="C7" i="3" s="1"/>
  <c r="C8" i="3" s="1"/>
  <c r="C9" i="3" s="1"/>
  <c r="C10" i="3" s="1"/>
  <c r="C11" i="3" s="1"/>
  <c r="C12" i="3" s="1"/>
  <c r="C13" i="3" s="1"/>
  <c r="C3" i="3"/>
  <c r="D2" i="3"/>
  <c r="C2" i="3"/>
  <c r="B2" i="3"/>
  <c r="B3" i="3"/>
  <c r="B4" i="3"/>
  <c r="B5" i="3"/>
  <c r="B6" i="3"/>
  <c r="B7" i="3"/>
  <c r="B8" i="3"/>
  <c r="B9" i="3"/>
  <c r="B10" i="3"/>
  <c r="B11" i="3"/>
  <c r="B12" i="3"/>
  <c r="B13" i="3"/>
</calcChain>
</file>

<file path=xl/sharedStrings.xml><?xml version="1.0" encoding="utf-8"?>
<sst xmlns="http://schemas.openxmlformats.org/spreadsheetml/2006/main" count="4065" uniqueCount="1057">
  <si>
    <t>user_id</t>
  </si>
  <si>
    <t>signup_date</t>
  </si>
  <si>
    <t>user_persona</t>
  </si>
  <si>
    <t>subscription_plan</t>
  </si>
  <si>
    <t>last_login_date</t>
  </si>
  <si>
    <t>is_active</t>
  </si>
  <si>
    <t>signup_month</t>
  </si>
  <si>
    <t>days_since_signup</t>
  </si>
  <si>
    <t>days_since_last_login</t>
  </si>
  <si>
    <t>quizzes_created</t>
  </si>
  <si>
    <t>tenure_days</t>
  </si>
  <si>
    <t>segment</t>
  </si>
  <si>
    <t>QF1000</t>
  </si>
  <si>
    <t>High School Teacher</t>
  </si>
  <si>
    <t>Free</t>
  </si>
  <si>
    <t>2024-03</t>
  </si>
  <si>
    <t>QF1001</t>
  </si>
  <si>
    <t>Enterprise</t>
  </si>
  <si>
    <t>QF1002</t>
  </si>
  <si>
    <t>Content Creator</t>
  </si>
  <si>
    <t>Pro</t>
  </si>
  <si>
    <t>QF1003</t>
  </si>
  <si>
    <t>Language Instructor</t>
  </si>
  <si>
    <t>QF1004</t>
  </si>
  <si>
    <t>HR Professional</t>
  </si>
  <si>
    <t>QF1005</t>
  </si>
  <si>
    <t>Basic</t>
  </si>
  <si>
    <t>QF1006</t>
  </si>
  <si>
    <t>QF1007</t>
  </si>
  <si>
    <t>QF1008</t>
  </si>
  <si>
    <t>University Professor</t>
  </si>
  <si>
    <t>QF1009</t>
  </si>
  <si>
    <t>QF1010</t>
  </si>
  <si>
    <t>K-12 Tutor</t>
  </si>
  <si>
    <t>QF1011</t>
  </si>
  <si>
    <t>QF1012</t>
  </si>
  <si>
    <t>QF1013</t>
  </si>
  <si>
    <t>Corporate Trainer</t>
  </si>
  <si>
    <t>QF1014</t>
  </si>
  <si>
    <t>QF1015</t>
  </si>
  <si>
    <t>QF1016</t>
  </si>
  <si>
    <t>QF1017</t>
  </si>
  <si>
    <t>QF1018</t>
  </si>
  <si>
    <t>QF1019</t>
  </si>
  <si>
    <t>QF1020</t>
  </si>
  <si>
    <t>QF1021</t>
  </si>
  <si>
    <t>QF1022</t>
  </si>
  <si>
    <t>QF1023</t>
  </si>
  <si>
    <t>QF1024</t>
  </si>
  <si>
    <t>QF1025</t>
  </si>
  <si>
    <t>QF1026</t>
  </si>
  <si>
    <t>STEM Educator</t>
  </si>
  <si>
    <t>QF1027</t>
  </si>
  <si>
    <t>QF1028</t>
  </si>
  <si>
    <t>QF1029</t>
  </si>
  <si>
    <t>QF1030</t>
  </si>
  <si>
    <t>QF1031</t>
  </si>
  <si>
    <t>QF1032</t>
  </si>
  <si>
    <t>QF1033</t>
  </si>
  <si>
    <t>QF1034</t>
  </si>
  <si>
    <t>QF1035</t>
  </si>
  <si>
    <t>QF1036</t>
  </si>
  <si>
    <t>QF1037</t>
  </si>
  <si>
    <t>QF1038</t>
  </si>
  <si>
    <t>QF1039</t>
  </si>
  <si>
    <t>QF1040</t>
  </si>
  <si>
    <t>QF1041</t>
  </si>
  <si>
    <t>QF1042</t>
  </si>
  <si>
    <t>QF1043</t>
  </si>
  <si>
    <t>QF1044</t>
  </si>
  <si>
    <t>QF1045</t>
  </si>
  <si>
    <t>QF1046</t>
  </si>
  <si>
    <t>QF1047</t>
  </si>
  <si>
    <t>QF1048</t>
  </si>
  <si>
    <t>QF1049</t>
  </si>
  <si>
    <t>QF1050</t>
  </si>
  <si>
    <t>QF1051</t>
  </si>
  <si>
    <t>QF1052</t>
  </si>
  <si>
    <t>QF1053</t>
  </si>
  <si>
    <t>QF1054</t>
  </si>
  <si>
    <t>QF1055</t>
  </si>
  <si>
    <t>QF1056</t>
  </si>
  <si>
    <t>QF1057</t>
  </si>
  <si>
    <t>QF1058</t>
  </si>
  <si>
    <t>QF1059</t>
  </si>
  <si>
    <t>QF1060</t>
  </si>
  <si>
    <t>QF1061</t>
  </si>
  <si>
    <t>QF1062</t>
  </si>
  <si>
    <t>QF1063</t>
  </si>
  <si>
    <t>QF1064</t>
  </si>
  <si>
    <t>2024-04</t>
  </si>
  <si>
    <t>QF1065</t>
  </si>
  <si>
    <t>QF1066</t>
  </si>
  <si>
    <t>QF1067</t>
  </si>
  <si>
    <t>QF1068</t>
  </si>
  <si>
    <t>QF1069</t>
  </si>
  <si>
    <t>QF1070</t>
  </si>
  <si>
    <t>QF1071</t>
  </si>
  <si>
    <t>QF1072</t>
  </si>
  <si>
    <t>QF1073</t>
  </si>
  <si>
    <t>QF1074</t>
  </si>
  <si>
    <t>QF1075</t>
  </si>
  <si>
    <t>QF1076</t>
  </si>
  <si>
    <t>QF1077</t>
  </si>
  <si>
    <t>QF1078</t>
  </si>
  <si>
    <t>QF1079</t>
  </si>
  <si>
    <t>QF1080</t>
  </si>
  <si>
    <t>QF1081</t>
  </si>
  <si>
    <t>QF1082</t>
  </si>
  <si>
    <t>QF1083</t>
  </si>
  <si>
    <t>QF1084</t>
  </si>
  <si>
    <t>QF1085</t>
  </si>
  <si>
    <t>QF1086</t>
  </si>
  <si>
    <t>QF1087</t>
  </si>
  <si>
    <t>QF1088</t>
  </si>
  <si>
    <t>QF1089</t>
  </si>
  <si>
    <t>QF1090</t>
  </si>
  <si>
    <t>QF1091</t>
  </si>
  <si>
    <t>QF1092</t>
  </si>
  <si>
    <t>QF1093</t>
  </si>
  <si>
    <t>QF1094</t>
  </si>
  <si>
    <t>QF1095</t>
  </si>
  <si>
    <t>QF1096</t>
  </si>
  <si>
    <t>QF1097</t>
  </si>
  <si>
    <t>QF1098</t>
  </si>
  <si>
    <t>QF1099</t>
  </si>
  <si>
    <t>QF1100</t>
  </si>
  <si>
    <t>QF1101</t>
  </si>
  <si>
    <t>QF1102</t>
  </si>
  <si>
    <t>QF1103</t>
  </si>
  <si>
    <t>QF1104</t>
  </si>
  <si>
    <t>QF1105</t>
  </si>
  <si>
    <t>QF1106</t>
  </si>
  <si>
    <t>QF1107</t>
  </si>
  <si>
    <t>QF1108</t>
  </si>
  <si>
    <t>QF1109</t>
  </si>
  <si>
    <t>QF1110</t>
  </si>
  <si>
    <t>QF1111</t>
  </si>
  <si>
    <t>QF1112</t>
  </si>
  <si>
    <t>QF1113</t>
  </si>
  <si>
    <t>QF1114</t>
  </si>
  <si>
    <t>QF1115</t>
  </si>
  <si>
    <t>QF1116</t>
  </si>
  <si>
    <t>QF1117</t>
  </si>
  <si>
    <t>QF1118</t>
  </si>
  <si>
    <t>QF1119</t>
  </si>
  <si>
    <t>QF1120</t>
  </si>
  <si>
    <t>QF1121</t>
  </si>
  <si>
    <t>QF1122</t>
  </si>
  <si>
    <t>QF1123</t>
  </si>
  <si>
    <t>QF1124</t>
  </si>
  <si>
    <t>QF1125</t>
  </si>
  <si>
    <t>QF1126</t>
  </si>
  <si>
    <t>QF1127</t>
  </si>
  <si>
    <t>QF1128</t>
  </si>
  <si>
    <t>QF1129</t>
  </si>
  <si>
    <t>QF1130</t>
  </si>
  <si>
    <t>QF1131</t>
  </si>
  <si>
    <t>QF1132</t>
  </si>
  <si>
    <t>QF1133</t>
  </si>
  <si>
    <t>QF1134</t>
  </si>
  <si>
    <t>QF1135</t>
  </si>
  <si>
    <t>QF1136</t>
  </si>
  <si>
    <t>QF1137</t>
  </si>
  <si>
    <t>QF1138</t>
  </si>
  <si>
    <t>QF1139</t>
  </si>
  <si>
    <t>QF1140</t>
  </si>
  <si>
    <t>QF1141</t>
  </si>
  <si>
    <t>QF1142</t>
  </si>
  <si>
    <t>QF1143</t>
  </si>
  <si>
    <t>QF1144</t>
  </si>
  <si>
    <t>QF1145</t>
  </si>
  <si>
    <t>QF1146</t>
  </si>
  <si>
    <t>QF1147</t>
  </si>
  <si>
    <t>QF1148</t>
  </si>
  <si>
    <t>QF1149</t>
  </si>
  <si>
    <t>QF1150</t>
  </si>
  <si>
    <t>QF1151</t>
  </si>
  <si>
    <t>QF1152</t>
  </si>
  <si>
    <t>QF1153</t>
  </si>
  <si>
    <t>QF1154</t>
  </si>
  <si>
    <t>QF1155</t>
  </si>
  <si>
    <t>QF1156</t>
  </si>
  <si>
    <t>QF1157</t>
  </si>
  <si>
    <t>QF1158</t>
  </si>
  <si>
    <t>QF1159</t>
  </si>
  <si>
    <t>QF1160</t>
  </si>
  <si>
    <t>QF1161</t>
  </si>
  <si>
    <t>QF1162</t>
  </si>
  <si>
    <t>QF1163</t>
  </si>
  <si>
    <t>QF1164</t>
  </si>
  <si>
    <t>2024-05</t>
  </si>
  <si>
    <t>QF1165</t>
  </si>
  <si>
    <t>QF1166</t>
  </si>
  <si>
    <t>QF1167</t>
  </si>
  <si>
    <t>QF1168</t>
  </si>
  <si>
    <t>QF1169</t>
  </si>
  <si>
    <t>QF1170</t>
  </si>
  <si>
    <t>QF1171</t>
  </si>
  <si>
    <t>QF1172</t>
  </si>
  <si>
    <t>QF1173</t>
  </si>
  <si>
    <t>QF1174</t>
  </si>
  <si>
    <t>QF1175</t>
  </si>
  <si>
    <t>QF1176</t>
  </si>
  <si>
    <t>QF1177</t>
  </si>
  <si>
    <t>QF1178</t>
  </si>
  <si>
    <t>QF1179</t>
  </si>
  <si>
    <t>QF1180</t>
  </si>
  <si>
    <t>QF1181</t>
  </si>
  <si>
    <t>QF1182</t>
  </si>
  <si>
    <t>QF1183</t>
  </si>
  <si>
    <t>QF1184</t>
  </si>
  <si>
    <t>QF1185</t>
  </si>
  <si>
    <t>QF1186</t>
  </si>
  <si>
    <t>QF1187</t>
  </si>
  <si>
    <t>QF1188</t>
  </si>
  <si>
    <t>QF1189</t>
  </si>
  <si>
    <t>QF1190</t>
  </si>
  <si>
    <t>QF1191</t>
  </si>
  <si>
    <t>QF1192</t>
  </si>
  <si>
    <t>QF1193</t>
  </si>
  <si>
    <t>QF1194</t>
  </si>
  <si>
    <t>QF1195</t>
  </si>
  <si>
    <t>QF1196</t>
  </si>
  <si>
    <t>QF1197</t>
  </si>
  <si>
    <t>QF1198</t>
  </si>
  <si>
    <t>QF1199</t>
  </si>
  <si>
    <t>QF1200</t>
  </si>
  <si>
    <t>QF1201</t>
  </si>
  <si>
    <t>QF1202</t>
  </si>
  <si>
    <t>QF1203</t>
  </si>
  <si>
    <t>QF1204</t>
  </si>
  <si>
    <t>QF1205</t>
  </si>
  <si>
    <t>QF1206</t>
  </si>
  <si>
    <t>QF1207</t>
  </si>
  <si>
    <t>QF1208</t>
  </si>
  <si>
    <t>QF1209</t>
  </si>
  <si>
    <t>QF1210</t>
  </si>
  <si>
    <t>QF1211</t>
  </si>
  <si>
    <t>QF1212</t>
  </si>
  <si>
    <t>QF1213</t>
  </si>
  <si>
    <t>QF1214</t>
  </si>
  <si>
    <t>QF1215</t>
  </si>
  <si>
    <t>QF1216</t>
  </si>
  <si>
    <t>QF1217</t>
  </si>
  <si>
    <t>QF1218</t>
  </si>
  <si>
    <t>QF1219</t>
  </si>
  <si>
    <t>QF1220</t>
  </si>
  <si>
    <t>QF1221</t>
  </si>
  <si>
    <t>QF1222</t>
  </si>
  <si>
    <t>QF1223</t>
  </si>
  <si>
    <t>QF1224</t>
  </si>
  <si>
    <t>QF1225</t>
  </si>
  <si>
    <t>QF1226</t>
  </si>
  <si>
    <t>QF1227</t>
  </si>
  <si>
    <t>QF1228</t>
  </si>
  <si>
    <t>QF1229</t>
  </si>
  <si>
    <t>QF1230</t>
  </si>
  <si>
    <t>QF1231</t>
  </si>
  <si>
    <t>QF1232</t>
  </si>
  <si>
    <t>QF1233</t>
  </si>
  <si>
    <t>QF1234</t>
  </si>
  <si>
    <t>QF1235</t>
  </si>
  <si>
    <t>QF1236</t>
  </si>
  <si>
    <t>QF1237</t>
  </si>
  <si>
    <t>QF1238</t>
  </si>
  <si>
    <t>QF1239</t>
  </si>
  <si>
    <t>QF1240</t>
  </si>
  <si>
    <t>QF1241</t>
  </si>
  <si>
    <t>QF1242</t>
  </si>
  <si>
    <t>QF1243</t>
  </si>
  <si>
    <t>QF1244</t>
  </si>
  <si>
    <t>QF1245</t>
  </si>
  <si>
    <t>QF1246</t>
  </si>
  <si>
    <t>QF1247</t>
  </si>
  <si>
    <t>QF1248</t>
  </si>
  <si>
    <t>QF1249</t>
  </si>
  <si>
    <t>QF1250</t>
  </si>
  <si>
    <t>QF1251</t>
  </si>
  <si>
    <t>QF1252</t>
  </si>
  <si>
    <t>QF1253</t>
  </si>
  <si>
    <t>QF1254</t>
  </si>
  <si>
    <t>QF1255</t>
  </si>
  <si>
    <t>QF1256</t>
  </si>
  <si>
    <t>QF1257</t>
  </si>
  <si>
    <t>QF1258</t>
  </si>
  <si>
    <t>QF1259</t>
  </si>
  <si>
    <t>QF1260</t>
  </si>
  <si>
    <t>QF1261</t>
  </si>
  <si>
    <t>QF1262</t>
  </si>
  <si>
    <t>QF1263</t>
  </si>
  <si>
    <t>QF1264</t>
  </si>
  <si>
    <t>QF1265</t>
  </si>
  <si>
    <t>QF1266</t>
  </si>
  <si>
    <t>QF1267</t>
  </si>
  <si>
    <t>QF1268</t>
  </si>
  <si>
    <t>QF1269</t>
  </si>
  <si>
    <t>QF1270</t>
  </si>
  <si>
    <t>QF1271</t>
  </si>
  <si>
    <t>QF1272</t>
  </si>
  <si>
    <t>QF1273</t>
  </si>
  <si>
    <t>QF1274</t>
  </si>
  <si>
    <t>QF1275</t>
  </si>
  <si>
    <t>QF1276</t>
  </si>
  <si>
    <t>QF1277</t>
  </si>
  <si>
    <t>QF1278</t>
  </si>
  <si>
    <t>QF1279</t>
  </si>
  <si>
    <t>QF1280</t>
  </si>
  <si>
    <t>QF1281</t>
  </si>
  <si>
    <t>QF1282</t>
  </si>
  <si>
    <t>QF1283</t>
  </si>
  <si>
    <t>QF1284</t>
  </si>
  <si>
    <t>QF1285</t>
  </si>
  <si>
    <t>2024-06</t>
  </si>
  <si>
    <t>QF1286</t>
  </si>
  <si>
    <t>QF1287</t>
  </si>
  <si>
    <t>QF1288</t>
  </si>
  <si>
    <t>QF1289</t>
  </si>
  <si>
    <t>QF1290</t>
  </si>
  <si>
    <t>QF1291</t>
  </si>
  <si>
    <t>QF1292</t>
  </si>
  <si>
    <t>QF1293</t>
  </si>
  <si>
    <t>QF1294</t>
  </si>
  <si>
    <t>QF1295</t>
  </si>
  <si>
    <t>QF1296</t>
  </si>
  <si>
    <t>QF1297</t>
  </si>
  <si>
    <t>QF1298</t>
  </si>
  <si>
    <t>QF1299</t>
  </si>
  <si>
    <t>QF1300</t>
  </si>
  <si>
    <t>QF1301</t>
  </si>
  <si>
    <t>QF1302</t>
  </si>
  <si>
    <t>QF1303</t>
  </si>
  <si>
    <t>QF1304</t>
  </si>
  <si>
    <t>QF1305</t>
  </si>
  <si>
    <t>QF1306</t>
  </si>
  <si>
    <t>QF1307</t>
  </si>
  <si>
    <t>QF1308</t>
  </si>
  <si>
    <t>QF1309</t>
  </si>
  <si>
    <t>QF1310</t>
  </si>
  <si>
    <t>QF1311</t>
  </si>
  <si>
    <t>QF1312</t>
  </si>
  <si>
    <t>QF1313</t>
  </si>
  <si>
    <t>QF1314</t>
  </si>
  <si>
    <t>QF1315</t>
  </si>
  <si>
    <t>QF1316</t>
  </si>
  <si>
    <t>QF1317</t>
  </si>
  <si>
    <t>QF1318</t>
  </si>
  <si>
    <t>QF1319</t>
  </si>
  <si>
    <t>QF1320</t>
  </si>
  <si>
    <t>QF1321</t>
  </si>
  <si>
    <t>QF1322</t>
  </si>
  <si>
    <t>QF1323</t>
  </si>
  <si>
    <t>QF1324</t>
  </si>
  <si>
    <t>QF1325</t>
  </si>
  <si>
    <t>QF1326</t>
  </si>
  <si>
    <t>QF1327</t>
  </si>
  <si>
    <t>QF1328</t>
  </si>
  <si>
    <t>QF1329</t>
  </si>
  <si>
    <t>QF1330</t>
  </si>
  <si>
    <t>QF1331</t>
  </si>
  <si>
    <t>QF1332</t>
  </si>
  <si>
    <t>QF1333</t>
  </si>
  <si>
    <t>QF1334</t>
  </si>
  <si>
    <t>QF1335</t>
  </si>
  <si>
    <t>QF1336</t>
  </si>
  <si>
    <t>QF1337</t>
  </si>
  <si>
    <t>QF1338</t>
  </si>
  <si>
    <t>QF1339</t>
  </si>
  <si>
    <t>QF1340</t>
  </si>
  <si>
    <t>QF1341</t>
  </si>
  <si>
    <t>QF1342</t>
  </si>
  <si>
    <t>QF1343</t>
  </si>
  <si>
    <t>QF1344</t>
  </si>
  <si>
    <t>QF1345</t>
  </si>
  <si>
    <t>QF1346</t>
  </si>
  <si>
    <t>QF1347</t>
  </si>
  <si>
    <t>QF1348</t>
  </si>
  <si>
    <t>QF1349</t>
  </si>
  <si>
    <t>QF1350</t>
  </si>
  <si>
    <t>QF1351</t>
  </si>
  <si>
    <t>QF1352</t>
  </si>
  <si>
    <t>QF1353</t>
  </si>
  <si>
    <t>QF1354</t>
  </si>
  <si>
    <t>QF1355</t>
  </si>
  <si>
    <t>QF1356</t>
  </si>
  <si>
    <t>QF1357</t>
  </si>
  <si>
    <t>QF1358</t>
  </si>
  <si>
    <t>QF1359</t>
  </si>
  <si>
    <t>QF1360</t>
  </si>
  <si>
    <t>QF1361</t>
  </si>
  <si>
    <t>QF1362</t>
  </si>
  <si>
    <t>QF1363</t>
  </si>
  <si>
    <t>QF1364</t>
  </si>
  <si>
    <t>QF1365</t>
  </si>
  <si>
    <t>QF1366</t>
  </si>
  <si>
    <t>QF1367</t>
  </si>
  <si>
    <t>QF1368</t>
  </si>
  <si>
    <t>QF1369</t>
  </si>
  <si>
    <t>QF1370</t>
  </si>
  <si>
    <t>QF1371</t>
  </si>
  <si>
    <t>QF1372</t>
  </si>
  <si>
    <t>QF1373</t>
  </si>
  <si>
    <t>QF1374</t>
  </si>
  <si>
    <t>QF1375</t>
  </si>
  <si>
    <t>QF1376</t>
  </si>
  <si>
    <t>QF1377</t>
  </si>
  <si>
    <t>QF1378</t>
  </si>
  <si>
    <t>QF1379</t>
  </si>
  <si>
    <t>QF1380</t>
  </si>
  <si>
    <t>QF1381</t>
  </si>
  <si>
    <t>QF1382</t>
  </si>
  <si>
    <t>QF1383</t>
  </si>
  <si>
    <t>QF1384</t>
  </si>
  <si>
    <t>QF1385</t>
  </si>
  <si>
    <t>QF1386</t>
  </si>
  <si>
    <t>QF1387</t>
  </si>
  <si>
    <t>QF1388</t>
  </si>
  <si>
    <t>QF1389</t>
  </si>
  <si>
    <t>QF1390</t>
  </si>
  <si>
    <t>QF1391</t>
  </si>
  <si>
    <t>QF1392</t>
  </si>
  <si>
    <t>QF1393</t>
  </si>
  <si>
    <t>QF1394</t>
  </si>
  <si>
    <t>QF1395</t>
  </si>
  <si>
    <t>QF1396</t>
  </si>
  <si>
    <t>QF1397</t>
  </si>
  <si>
    <t>QF1398</t>
  </si>
  <si>
    <t>QF1399</t>
  </si>
  <si>
    <t>QF1400</t>
  </si>
  <si>
    <t>QF1401</t>
  </si>
  <si>
    <t>QF1402</t>
  </si>
  <si>
    <t>QF1403</t>
  </si>
  <si>
    <t>QF1404</t>
  </si>
  <si>
    <t>QF1405</t>
  </si>
  <si>
    <t>QF1406</t>
  </si>
  <si>
    <t>QF1407</t>
  </si>
  <si>
    <t>QF1408</t>
  </si>
  <si>
    <t>QF1409</t>
  </si>
  <si>
    <t>QF1410</t>
  </si>
  <si>
    <t>QF1411</t>
  </si>
  <si>
    <t>QF1412</t>
  </si>
  <si>
    <t>QF1413</t>
  </si>
  <si>
    <t>QF1414</t>
  </si>
  <si>
    <t>QF1415</t>
  </si>
  <si>
    <t>QF1416</t>
  </si>
  <si>
    <t>QF1417</t>
  </si>
  <si>
    <t>QF1418</t>
  </si>
  <si>
    <t>QF1419</t>
  </si>
  <si>
    <t>QF1420</t>
  </si>
  <si>
    <t>QF1421</t>
  </si>
  <si>
    <t>QF1422</t>
  </si>
  <si>
    <t>QF1423</t>
  </si>
  <si>
    <t>QF1424</t>
  </si>
  <si>
    <t>QF1425</t>
  </si>
  <si>
    <t>QF1426</t>
  </si>
  <si>
    <t>QF1427</t>
  </si>
  <si>
    <t>QF1428</t>
  </si>
  <si>
    <t>QF1429</t>
  </si>
  <si>
    <t>QF1430</t>
  </si>
  <si>
    <t>QF1431</t>
  </si>
  <si>
    <t>QF1432</t>
  </si>
  <si>
    <t>QF1433</t>
  </si>
  <si>
    <t>QF1434</t>
  </si>
  <si>
    <t>QF1435</t>
  </si>
  <si>
    <t>QF1436</t>
  </si>
  <si>
    <t>QF1437</t>
  </si>
  <si>
    <t>QF1438</t>
  </si>
  <si>
    <t>QF1439</t>
  </si>
  <si>
    <t>QF1440</t>
  </si>
  <si>
    <t>QF1441</t>
  </si>
  <si>
    <t>QF1442</t>
  </si>
  <si>
    <t>QF1443</t>
  </si>
  <si>
    <t>QF1444</t>
  </si>
  <si>
    <t>QF1445</t>
  </si>
  <si>
    <t>QF1446</t>
  </si>
  <si>
    <t>QF1447</t>
  </si>
  <si>
    <t>QF1448</t>
  </si>
  <si>
    <t>QF1449</t>
  </si>
  <si>
    <t>QF1450</t>
  </si>
  <si>
    <t>QF1451</t>
  </si>
  <si>
    <t>2024-07</t>
  </si>
  <si>
    <t>QF1452</t>
  </si>
  <si>
    <t>QF1453</t>
  </si>
  <si>
    <t>QF1454</t>
  </si>
  <si>
    <t>QF1455</t>
  </si>
  <si>
    <t>QF1456</t>
  </si>
  <si>
    <t>QF1457</t>
  </si>
  <si>
    <t>QF1458</t>
  </si>
  <si>
    <t>QF1459</t>
  </si>
  <si>
    <t>QF1460</t>
  </si>
  <si>
    <t>QF1461</t>
  </si>
  <si>
    <t>QF1462</t>
  </si>
  <si>
    <t>QF1463</t>
  </si>
  <si>
    <t>QF1464</t>
  </si>
  <si>
    <t>QF1465</t>
  </si>
  <si>
    <t>QF1466</t>
  </si>
  <si>
    <t>QF1467</t>
  </si>
  <si>
    <t>QF1468</t>
  </si>
  <si>
    <t>QF1469</t>
  </si>
  <si>
    <t>QF1470</t>
  </si>
  <si>
    <t>QF1471</t>
  </si>
  <si>
    <t>QF1472</t>
  </si>
  <si>
    <t>QF1473</t>
  </si>
  <si>
    <t>QF1474</t>
  </si>
  <si>
    <t>QF1475</t>
  </si>
  <si>
    <t>QF1476</t>
  </si>
  <si>
    <t>QF1477</t>
  </si>
  <si>
    <t>QF1478</t>
  </si>
  <si>
    <t>QF1479</t>
  </si>
  <si>
    <t>QF1480</t>
  </si>
  <si>
    <t>QF1481</t>
  </si>
  <si>
    <t>QF1482</t>
  </si>
  <si>
    <t>QF1483</t>
  </si>
  <si>
    <t>QF1484</t>
  </si>
  <si>
    <t>QF1485</t>
  </si>
  <si>
    <t>QF1486</t>
  </si>
  <si>
    <t>QF1487</t>
  </si>
  <si>
    <t>QF1488</t>
  </si>
  <si>
    <t>QF1489</t>
  </si>
  <si>
    <t>QF1490</t>
  </si>
  <si>
    <t>QF1491</t>
  </si>
  <si>
    <t>QF1492</t>
  </si>
  <si>
    <t>QF1493</t>
  </si>
  <si>
    <t>QF1494</t>
  </si>
  <si>
    <t>QF1495</t>
  </si>
  <si>
    <t>QF1496</t>
  </si>
  <si>
    <t>QF1497</t>
  </si>
  <si>
    <t>QF1498</t>
  </si>
  <si>
    <t>QF1499</t>
  </si>
  <si>
    <t>QF1500</t>
  </si>
  <si>
    <t>QF1501</t>
  </si>
  <si>
    <t>QF1502</t>
  </si>
  <si>
    <t>QF1503</t>
  </si>
  <si>
    <t>QF1504</t>
  </si>
  <si>
    <t>QF1505</t>
  </si>
  <si>
    <t>QF1506</t>
  </si>
  <si>
    <t>QF1507</t>
  </si>
  <si>
    <t>QF1508</t>
  </si>
  <si>
    <t>QF1509</t>
  </si>
  <si>
    <t>QF1510</t>
  </si>
  <si>
    <t>QF1511</t>
  </si>
  <si>
    <t>QF1512</t>
  </si>
  <si>
    <t>QF1513</t>
  </si>
  <si>
    <t>QF1514</t>
  </si>
  <si>
    <t>QF1515</t>
  </si>
  <si>
    <t>QF1516</t>
  </si>
  <si>
    <t>QF1517</t>
  </si>
  <si>
    <t>QF1518</t>
  </si>
  <si>
    <t>QF1519</t>
  </si>
  <si>
    <t>QF1520</t>
  </si>
  <si>
    <t>QF1521</t>
  </si>
  <si>
    <t>QF1522</t>
  </si>
  <si>
    <t>QF1523</t>
  </si>
  <si>
    <t>QF1524</t>
  </si>
  <si>
    <t>QF1525</t>
  </si>
  <si>
    <t>QF1526</t>
  </si>
  <si>
    <t>QF1527</t>
  </si>
  <si>
    <t>QF1528</t>
  </si>
  <si>
    <t>QF1529</t>
  </si>
  <si>
    <t>QF1530</t>
  </si>
  <si>
    <t>QF1531</t>
  </si>
  <si>
    <t>QF1532</t>
  </si>
  <si>
    <t>QF1533</t>
  </si>
  <si>
    <t>QF1534</t>
  </si>
  <si>
    <t>QF1535</t>
  </si>
  <si>
    <t>QF1536</t>
  </si>
  <si>
    <t>QF1537</t>
  </si>
  <si>
    <t>QF1538</t>
  </si>
  <si>
    <t>QF1539</t>
  </si>
  <si>
    <t>QF1540</t>
  </si>
  <si>
    <t>QF1541</t>
  </si>
  <si>
    <t>QF1542</t>
  </si>
  <si>
    <t>QF1543</t>
  </si>
  <si>
    <t>QF1544</t>
  </si>
  <si>
    <t>QF1545</t>
  </si>
  <si>
    <t>QF1546</t>
  </si>
  <si>
    <t>QF1547</t>
  </si>
  <si>
    <t>QF1548</t>
  </si>
  <si>
    <t>QF1549</t>
  </si>
  <si>
    <t>QF1550</t>
  </si>
  <si>
    <t>QF1551</t>
  </si>
  <si>
    <t>QF1552</t>
  </si>
  <si>
    <t>QF1553</t>
  </si>
  <si>
    <t>QF1554</t>
  </si>
  <si>
    <t>QF1555</t>
  </si>
  <si>
    <t>QF1556</t>
  </si>
  <si>
    <t>QF1557</t>
  </si>
  <si>
    <t>QF1558</t>
  </si>
  <si>
    <t>QF1559</t>
  </si>
  <si>
    <t>QF1560</t>
  </si>
  <si>
    <t>QF1561</t>
  </si>
  <si>
    <t>QF1562</t>
  </si>
  <si>
    <t>QF1563</t>
  </si>
  <si>
    <t>QF1564</t>
  </si>
  <si>
    <t>QF1565</t>
  </si>
  <si>
    <t>QF1566</t>
  </si>
  <si>
    <t>QF1567</t>
  </si>
  <si>
    <t>QF1568</t>
  </si>
  <si>
    <t>QF1569</t>
  </si>
  <si>
    <t>QF1570</t>
  </si>
  <si>
    <t>QF1571</t>
  </si>
  <si>
    <t>QF1572</t>
  </si>
  <si>
    <t>QF1573</t>
  </si>
  <si>
    <t>QF1574</t>
  </si>
  <si>
    <t>QF1575</t>
  </si>
  <si>
    <t>QF1576</t>
  </si>
  <si>
    <t>QF1577</t>
  </si>
  <si>
    <t>QF1578</t>
  </si>
  <si>
    <t>QF1579</t>
  </si>
  <si>
    <t>QF1580</t>
  </si>
  <si>
    <t>QF1581</t>
  </si>
  <si>
    <t>QF1582</t>
  </si>
  <si>
    <t>QF1583</t>
  </si>
  <si>
    <t>QF1584</t>
  </si>
  <si>
    <t>QF1585</t>
  </si>
  <si>
    <t>QF1586</t>
  </si>
  <si>
    <t>QF1587</t>
  </si>
  <si>
    <t>QF1588</t>
  </si>
  <si>
    <t>QF1589</t>
  </si>
  <si>
    <t>QF1590</t>
  </si>
  <si>
    <t>QF1591</t>
  </si>
  <si>
    <t>QF1592</t>
  </si>
  <si>
    <t>QF1593</t>
  </si>
  <si>
    <t>QF1594</t>
  </si>
  <si>
    <t>QF1595</t>
  </si>
  <si>
    <t>QF1596</t>
  </si>
  <si>
    <t>QF1597</t>
  </si>
  <si>
    <t>QF1598</t>
  </si>
  <si>
    <t>QF1599</t>
  </si>
  <si>
    <t>QF1600</t>
  </si>
  <si>
    <t>QF1601</t>
  </si>
  <si>
    <t>QF1602</t>
  </si>
  <si>
    <t>QF1603</t>
  </si>
  <si>
    <t>QF1604</t>
  </si>
  <si>
    <t>QF1605</t>
  </si>
  <si>
    <t>QF1606</t>
  </si>
  <si>
    <t>QF1607</t>
  </si>
  <si>
    <t>QF1608</t>
  </si>
  <si>
    <t>QF1609</t>
  </si>
  <si>
    <t>QF1610</t>
  </si>
  <si>
    <t>QF1611</t>
  </si>
  <si>
    <t>QF1612</t>
  </si>
  <si>
    <t>QF1613</t>
  </si>
  <si>
    <t>QF1614</t>
  </si>
  <si>
    <t>QF1615</t>
  </si>
  <si>
    <t>QF1616</t>
  </si>
  <si>
    <t>QF1617</t>
  </si>
  <si>
    <t>QF1618</t>
  </si>
  <si>
    <t>QF1619</t>
  </si>
  <si>
    <t>QF1620</t>
  </si>
  <si>
    <t>QF1621</t>
  </si>
  <si>
    <t>QF1622</t>
  </si>
  <si>
    <t>QF1623</t>
  </si>
  <si>
    <t>QF1624</t>
  </si>
  <si>
    <t>QF1625</t>
  </si>
  <si>
    <t>QF1626</t>
  </si>
  <si>
    <t>QF1627</t>
  </si>
  <si>
    <t>QF1628</t>
  </si>
  <si>
    <t>QF1629</t>
  </si>
  <si>
    <t>QF1630</t>
  </si>
  <si>
    <t>QF1631</t>
  </si>
  <si>
    <t>QF1632</t>
  </si>
  <si>
    <t>QF1633</t>
  </si>
  <si>
    <t>QF1634</t>
  </si>
  <si>
    <t>QF1635</t>
  </si>
  <si>
    <t>QF1636</t>
  </si>
  <si>
    <t>QF1637</t>
  </si>
  <si>
    <t>QF1638</t>
  </si>
  <si>
    <t>QF1639</t>
  </si>
  <si>
    <t>QF1640</t>
  </si>
  <si>
    <t>QF1641</t>
  </si>
  <si>
    <t>QF1642</t>
  </si>
  <si>
    <t>QF1643</t>
  </si>
  <si>
    <t>QF1644</t>
  </si>
  <si>
    <t>QF1645</t>
  </si>
  <si>
    <t>QF1646</t>
  </si>
  <si>
    <t>QF1647</t>
  </si>
  <si>
    <t>QF1648</t>
  </si>
  <si>
    <t>QF1649</t>
  </si>
  <si>
    <t>QF1650</t>
  </si>
  <si>
    <t>QF1651</t>
  </si>
  <si>
    <t>QF1652</t>
  </si>
  <si>
    <t>QF1653</t>
  </si>
  <si>
    <t>QF1654</t>
  </si>
  <si>
    <t>QF1655</t>
  </si>
  <si>
    <t>QF1656</t>
  </si>
  <si>
    <t>QF1657</t>
  </si>
  <si>
    <t>QF1658</t>
  </si>
  <si>
    <t>QF1659</t>
  </si>
  <si>
    <t>QF1660</t>
  </si>
  <si>
    <t>QF1661</t>
  </si>
  <si>
    <t>QF1662</t>
  </si>
  <si>
    <t>QF1663</t>
  </si>
  <si>
    <t>QF1664</t>
  </si>
  <si>
    <t>QF1665</t>
  </si>
  <si>
    <t>QF1666</t>
  </si>
  <si>
    <t>QF1667</t>
  </si>
  <si>
    <t>QF1668</t>
  </si>
  <si>
    <t>QF1669</t>
  </si>
  <si>
    <t>QF1670</t>
  </si>
  <si>
    <t>QF1671</t>
  </si>
  <si>
    <t>QF1672</t>
  </si>
  <si>
    <t>QF1673</t>
  </si>
  <si>
    <t>QF1674</t>
  </si>
  <si>
    <t>QF1675</t>
  </si>
  <si>
    <t>QF1676</t>
  </si>
  <si>
    <t>QF1677</t>
  </si>
  <si>
    <t>QF1678</t>
  </si>
  <si>
    <t>QF1679</t>
  </si>
  <si>
    <t>QF1680</t>
  </si>
  <si>
    <t>QF1681</t>
  </si>
  <si>
    <t>QF1682</t>
  </si>
  <si>
    <t>QF1683</t>
  </si>
  <si>
    <t>QF1684</t>
  </si>
  <si>
    <t>QF1685</t>
  </si>
  <si>
    <t>QF1686</t>
  </si>
  <si>
    <t>QF1687</t>
  </si>
  <si>
    <t>QF1688</t>
  </si>
  <si>
    <t>QF1689</t>
  </si>
  <si>
    <t>QF1690</t>
  </si>
  <si>
    <t>QF1691</t>
  </si>
  <si>
    <t>QF1692</t>
  </si>
  <si>
    <t>QF1693</t>
  </si>
  <si>
    <t>2024-08</t>
  </si>
  <si>
    <t>QF1694</t>
  </si>
  <si>
    <t>QF1695</t>
  </si>
  <si>
    <t>QF1696</t>
  </si>
  <si>
    <t>QF1697</t>
  </si>
  <si>
    <t>QF1698</t>
  </si>
  <si>
    <t>QF1699</t>
  </si>
  <si>
    <t>QF1700</t>
  </si>
  <si>
    <t>QF1701</t>
  </si>
  <si>
    <t>QF1702</t>
  </si>
  <si>
    <t>QF1703</t>
  </si>
  <si>
    <t>QF1704</t>
  </si>
  <si>
    <t>QF1705</t>
  </si>
  <si>
    <t>QF1706</t>
  </si>
  <si>
    <t>QF1707</t>
  </si>
  <si>
    <t>QF1708</t>
  </si>
  <si>
    <t>QF1709</t>
  </si>
  <si>
    <t>QF1710</t>
  </si>
  <si>
    <t>QF1711</t>
  </si>
  <si>
    <t>QF1712</t>
  </si>
  <si>
    <t>QF1713</t>
  </si>
  <si>
    <t>QF1714</t>
  </si>
  <si>
    <t>QF1715</t>
  </si>
  <si>
    <t>QF1716</t>
  </si>
  <si>
    <t>QF1717</t>
  </si>
  <si>
    <t>QF1718</t>
  </si>
  <si>
    <t>QF1719</t>
  </si>
  <si>
    <t>QF1720</t>
  </si>
  <si>
    <t>QF1721</t>
  </si>
  <si>
    <t>QF1722</t>
  </si>
  <si>
    <t>QF1723</t>
  </si>
  <si>
    <t>QF1724</t>
  </si>
  <si>
    <t>QF1725</t>
  </si>
  <si>
    <t>QF1726</t>
  </si>
  <si>
    <t>QF1727</t>
  </si>
  <si>
    <t>QF1728</t>
  </si>
  <si>
    <t>QF1729</t>
  </si>
  <si>
    <t>QF1730</t>
  </si>
  <si>
    <t>QF1731</t>
  </si>
  <si>
    <t>QF1732</t>
  </si>
  <si>
    <t>QF1733</t>
  </si>
  <si>
    <t>QF1734</t>
  </si>
  <si>
    <t>QF1735</t>
  </si>
  <si>
    <t>QF1736</t>
  </si>
  <si>
    <t>QF1737</t>
  </si>
  <si>
    <t>QF1738</t>
  </si>
  <si>
    <t>QF1739</t>
  </si>
  <si>
    <t>QF1740</t>
  </si>
  <si>
    <t>QF1741</t>
  </si>
  <si>
    <t>QF1742</t>
  </si>
  <si>
    <t>QF1743</t>
  </si>
  <si>
    <t>QF1744</t>
  </si>
  <si>
    <t>QF1745</t>
  </si>
  <si>
    <t>QF1746</t>
  </si>
  <si>
    <t>QF1747</t>
  </si>
  <si>
    <t>QF1748</t>
  </si>
  <si>
    <t>QF1749</t>
  </si>
  <si>
    <t>QF1750</t>
  </si>
  <si>
    <t>QF1751</t>
  </si>
  <si>
    <t>QF1752</t>
  </si>
  <si>
    <t>QF1753</t>
  </si>
  <si>
    <t>QF1754</t>
  </si>
  <si>
    <t>QF1755</t>
  </si>
  <si>
    <t>QF1756</t>
  </si>
  <si>
    <t>QF1757</t>
  </si>
  <si>
    <t>QF1758</t>
  </si>
  <si>
    <t>QF1759</t>
  </si>
  <si>
    <t>QF1760</t>
  </si>
  <si>
    <t>QF1761</t>
  </si>
  <si>
    <t>QF1762</t>
  </si>
  <si>
    <t>QF1763</t>
  </si>
  <si>
    <t>QF1764</t>
  </si>
  <si>
    <t>QF1765</t>
  </si>
  <si>
    <t>QF1766</t>
  </si>
  <si>
    <t>QF1767</t>
  </si>
  <si>
    <t>QF1768</t>
  </si>
  <si>
    <t>QF1769</t>
  </si>
  <si>
    <t>QF1770</t>
  </si>
  <si>
    <t>QF1771</t>
  </si>
  <si>
    <t>QF1772</t>
  </si>
  <si>
    <t>QF1773</t>
  </si>
  <si>
    <t>QF1774</t>
  </si>
  <si>
    <t>QF1775</t>
  </si>
  <si>
    <t>QF1776</t>
  </si>
  <si>
    <t>QF1777</t>
  </si>
  <si>
    <t>QF1778</t>
  </si>
  <si>
    <t>QF1779</t>
  </si>
  <si>
    <t>QF1780</t>
  </si>
  <si>
    <t>QF1781</t>
  </si>
  <si>
    <t>QF1782</t>
  </si>
  <si>
    <t>QF1783</t>
  </si>
  <si>
    <t>QF1784</t>
  </si>
  <si>
    <t>QF1785</t>
  </si>
  <si>
    <t>QF1786</t>
  </si>
  <si>
    <t>QF1787</t>
  </si>
  <si>
    <t>QF1788</t>
  </si>
  <si>
    <t>QF1789</t>
  </si>
  <si>
    <t>QF1790</t>
  </si>
  <si>
    <t>QF1791</t>
  </si>
  <si>
    <t>QF1792</t>
  </si>
  <si>
    <t>QF1793</t>
  </si>
  <si>
    <t>QF1794</t>
  </si>
  <si>
    <t>QF1795</t>
  </si>
  <si>
    <t>QF1796</t>
  </si>
  <si>
    <t>QF1797</t>
  </si>
  <si>
    <t>QF1798</t>
  </si>
  <si>
    <t>QF1799</t>
  </si>
  <si>
    <t>QF1800</t>
  </si>
  <si>
    <t>QF1801</t>
  </si>
  <si>
    <t>QF1802</t>
  </si>
  <si>
    <t>QF1803</t>
  </si>
  <si>
    <t>QF1804</t>
  </si>
  <si>
    <t>QF1805</t>
  </si>
  <si>
    <t>QF1806</t>
  </si>
  <si>
    <t>QF1807</t>
  </si>
  <si>
    <t>QF1808</t>
  </si>
  <si>
    <t>QF1809</t>
  </si>
  <si>
    <t>QF1810</t>
  </si>
  <si>
    <t>QF1811</t>
  </si>
  <si>
    <t>QF1812</t>
  </si>
  <si>
    <t>QF1813</t>
  </si>
  <si>
    <t>QF1814</t>
  </si>
  <si>
    <t>QF1815</t>
  </si>
  <si>
    <t>QF1816</t>
  </si>
  <si>
    <t>QF1817</t>
  </si>
  <si>
    <t>QF1818</t>
  </si>
  <si>
    <t>QF1819</t>
  </si>
  <si>
    <t>QF1820</t>
  </si>
  <si>
    <t>QF1821</t>
  </si>
  <si>
    <t>QF1822</t>
  </si>
  <si>
    <t>QF1823</t>
  </si>
  <si>
    <t>QF1824</t>
  </si>
  <si>
    <t>QF1825</t>
  </si>
  <si>
    <t>QF1826</t>
  </si>
  <si>
    <t>QF1827</t>
  </si>
  <si>
    <t>QF1828</t>
  </si>
  <si>
    <t>QF1829</t>
  </si>
  <si>
    <t>QF1830</t>
  </si>
  <si>
    <t>QF1831</t>
  </si>
  <si>
    <t>QF1832</t>
  </si>
  <si>
    <t>QF1833</t>
  </si>
  <si>
    <t>QF1834</t>
  </si>
  <si>
    <t>QF1835</t>
  </si>
  <si>
    <t>QF1836</t>
  </si>
  <si>
    <t>QF1837</t>
  </si>
  <si>
    <t>QF1838</t>
  </si>
  <si>
    <t>QF1839</t>
  </si>
  <si>
    <t>QF1840</t>
  </si>
  <si>
    <t>QF1841</t>
  </si>
  <si>
    <t>QF1842</t>
  </si>
  <si>
    <t>QF1843</t>
  </si>
  <si>
    <t>QF1844</t>
  </si>
  <si>
    <t>QF1845</t>
  </si>
  <si>
    <t>QF1846</t>
  </si>
  <si>
    <t>QF1847</t>
  </si>
  <si>
    <t>QF1848</t>
  </si>
  <si>
    <t>QF1849</t>
  </si>
  <si>
    <t>QF1850</t>
  </si>
  <si>
    <t>QF1851</t>
  </si>
  <si>
    <t>QF1852</t>
  </si>
  <si>
    <t>QF1853</t>
  </si>
  <si>
    <t>QF1854</t>
  </si>
  <si>
    <t>QF1855</t>
  </si>
  <si>
    <t>QF1856</t>
  </si>
  <si>
    <t>QF1857</t>
  </si>
  <si>
    <t>QF1858</t>
  </si>
  <si>
    <t>QF1859</t>
  </si>
  <si>
    <t>QF1860</t>
  </si>
  <si>
    <t>QF1861</t>
  </si>
  <si>
    <t>QF1862</t>
  </si>
  <si>
    <t>QF1863</t>
  </si>
  <si>
    <t>QF1864</t>
  </si>
  <si>
    <t>QF1865</t>
  </si>
  <si>
    <t>QF1866</t>
  </si>
  <si>
    <t>QF1867</t>
  </si>
  <si>
    <t>QF1868</t>
  </si>
  <si>
    <t>QF1869</t>
  </si>
  <si>
    <t>QF1870</t>
  </si>
  <si>
    <t>QF1871</t>
  </si>
  <si>
    <t>QF1872</t>
  </si>
  <si>
    <t>QF1873</t>
  </si>
  <si>
    <t>QF1874</t>
  </si>
  <si>
    <t>QF1875</t>
  </si>
  <si>
    <t>QF1876</t>
  </si>
  <si>
    <t>QF1877</t>
  </si>
  <si>
    <t>QF1878</t>
  </si>
  <si>
    <t>QF1879</t>
  </si>
  <si>
    <t>QF1880</t>
  </si>
  <si>
    <t>QF1881</t>
  </si>
  <si>
    <t>QF1882</t>
  </si>
  <si>
    <t>QF1883</t>
  </si>
  <si>
    <t>QF1884</t>
  </si>
  <si>
    <t>QF1885</t>
  </si>
  <si>
    <t>QF1886</t>
  </si>
  <si>
    <t>QF1887</t>
  </si>
  <si>
    <t>QF1888</t>
  </si>
  <si>
    <t>QF1889</t>
  </si>
  <si>
    <t>QF1890</t>
  </si>
  <si>
    <t>QF1891</t>
  </si>
  <si>
    <t>QF1892</t>
  </si>
  <si>
    <t>QF1893</t>
  </si>
  <si>
    <t>QF1894</t>
  </si>
  <si>
    <t>QF1895</t>
  </si>
  <si>
    <t>QF1896</t>
  </si>
  <si>
    <t>QF1897</t>
  </si>
  <si>
    <t>QF1898</t>
  </si>
  <si>
    <t>QF1899</t>
  </si>
  <si>
    <t>QF1900</t>
  </si>
  <si>
    <t>QF1901</t>
  </si>
  <si>
    <t>QF1902</t>
  </si>
  <si>
    <t>QF1903</t>
  </si>
  <si>
    <t>QF1904</t>
  </si>
  <si>
    <t>QF1905</t>
  </si>
  <si>
    <t>QF1906</t>
  </si>
  <si>
    <t>QF1907</t>
  </si>
  <si>
    <t>QF1908</t>
  </si>
  <si>
    <t>QF1909</t>
  </si>
  <si>
    <t>QF1910</t>
  </si>
  <si>
    <t>QF1911</t>
  </si>
  <si>
    <t>QF1912</t>
  </si>
  <si>
    <t>QF1913</t>
  </si>
  <si>
    <t>QF1914</t>
  </si>
  <si>
    <t>QF1915</t>
  </si>
  <si>
    <t>QF1916</t>
  </si>
  <si>
    <t>QF1917</t>
  </si>
  <si>
    <t>QF1918</t>
  </si>
  <si>
    <t>QF1919</t>
  </si>
  <si>
    <t>QF1920</t>
  </si>
  <si>
    <t>QF1921</t>
  </si>
  <si>
    <t>QF1922</t>
  </si>
  <si>
    <t>QF1923</t>
  </si>
  <si>
    <t>QF1924</t>
  </si>
  <si>
    <t>QF1925</t>
  </si>
  <si>
    <t>QF1926</t>
  </si>
  <si>
    <t>QF1927</t>
  </si>
  <si>
    <t>QF1928</t>
  </si>
  <si>
    <t>QF1929</t>
  </si>
  <si>
    <t>QF1930</t>
  </si>
  <si>
    <t>QF1931</t>
  </si>
  <si>
    <t>QF1932</t>
  </si>
  <si>
    <t>QF1933</t>
  </si>
  <si>
    <t>QF1934</t>
  </si>
  <si>
    <t>QF1935</t>
  </si>
  <si>
    <t>QF1936</t>
  </si>
  <si>
    <t>QF1937</t>
  </si>
  <si>
    <t>QF1938</t>
  </si>
  <si>
    <t>QF1939</t>
  </si>
  <si>
    <t>QF1940</t>
  </si>
  <si>
    <t>QF1941</t>
  </si>
  <si>
    <t>QF1942</t>
  </si>
  <si>
    <t>QF1943</t>
  </si>
  <si>
    <t>QF1944</t>
  </si>
  <si>
    <t>QF1945</t>
  </si>
  <si>
    <t>QF1946</t>
  </si>
  <si>
    <t>QF1947</t>
  </si>
  <si>
    <t>QF1948</t>
  </si>
  <si>
    <t>QF1949</t>
  </si>
  <si>
    <t>QF1950</t>
  </si>
  <si>
    <t>QF1951</t>
  </si>
  <si>
    <t>QF1952</t>
  </si>
  <si>
    <t>QF1953</t>
  </si>
  <si>
    <t>QF1954</t>
  </si>
  <si>
    <t>QF1955</t>
  </si>
  <si>
    <t>QF1956</t>
  </si>
  <si>
    <t>QF1957</t>
  </si>
  <si>
    <t>QF1958</t>
  </si>
  <si>
    <t>QF1959</t>
  </si>
  <si>
    <t>QF1960</t>
  </si>
  <si>
    <t>QF1961</t>
  </si>
  <si>
    <t>QF1962</t>
  </si>
  <si>
    <t>QF1963</t>
  </si>
  <si>
    <t>QF1964</t>
  </si>
  <si>
    <t>QF1965</t>
  </si>
  <si>
    <t>QF1966</t>
  </si>
  <si>
    <t>QF1967</t>
  </si>
  <si>
    <t>QF1968</t>
  </si>
  <si>
    <t>QF1969</t>
  </si>
  <si>
    <t>QF1970</t>
  </si>
  <si>
    <t>QF1971</t>
  </si>
  <si>
    <t>QF1972</t>
  </si>
  <si>
    <t>QF1973</t>
  </si>
  <si>
    <t>QF1974</t>
  </si>
  <si>
    <t>QF1975</t>
  </si>
  <si>
    <t>QF1976</t>
  </si>
  <si>
    <t>QF1977</t>
  </si>
  <si>
    <t>QF1978</t>
  </si>
  <si>
    <t>QF1979</t>
  </si>
  <si>
    <t>QF1980</t>
  </si>
  <si>
    <t>QF1981</t>
  </si>
  <si>
    <t>QF1982</t>
  </si>
  <si>
    <t>QF1983</t>
  </si>
  <si>
    <t>QF1984</t>
  </si>
  <si>
    <t>QF1985</t>
  </si>
  <si>
    <t>QF1986</t>
  </si>
  <si>
    <t>QF1987</t>
  </si>
  <si>
    <t>QF1988</t>
  </si>
  <si>
    <t>QF1989</t>
  </si>
  <si>
    <t>QF1990</t>
  </si>
  <si>
    <t>QF1991</t>
  </si>
  <si>
    <t>QF1992</t>
  </si>
  <si>
    <t>QF1993</t>
  </si>
  <si>
    <t>QF1994</t>
  </si>
  <si>
    <t>QF1995</t>
  </si>
  <si>
    <t>QF1996</t>
  </si>
  <si>
    <t>QF1997</t>
  </si>
  <si>
    <t>QF1998</t>
  </si>
  <si>
    <t>QF1999</t>
  </si>
  <si>
    <t>A (Label)</t>
  </si>
  <si>
    <t>B (Value)</t>
  </si>
  <si>
    <t>Start Month</t>
  </si>
  <si>
    <t>Projection Months</t>
  </si>
  <si>
    <t>Monthly Marketing Spend</t>
  </si>
  <si>
    <t>Gross Margin %</t>
  </si>
  <si>
    <t>Month</t>
  </si>
  <si>
    <t>New_Customers</t>
  </si>
  <si>
    <t>2024-01</t>
  </si>
  <si>
    <t>2024-02</t>
  </si>
  <si>
    <t>2024-09</t>
  </si>
  <si>
    <t>2024-10</t>
  </si>
  <si>
    <t>2024-11</t>
  </si>
  <si>
    <t>2024-12</t>
  </si>
  <si>
    <t>Active_Pro</t>
  </si>
  <si>
    <t>Active_Ent</t>
  </si>
  <si>
    <t>ARPU_Free</t>
  </si>
  <si>
    <t>ARPU_Pro</t>
  </si>
  <si>
    <t>Churn_Free</t>
  </si>
  <si>
    <t>Churn_Pro</t>
  </si>
  <si>
    <t>Churn_Enterprise</t>
  </si>
  <si>
    <t xml:space="preserve">ARPU_Enterprise </t>
  </si>
  <si>
    <t>MRR</t>
  </si>
  <si>
    <t>CAC</t>
  </si>
  <si>
    <t>Plan</t>
  </si>
  <si>
    <t>LTV</t>
  </si>
  <si>
    <t>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</si>
</sst>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69" fontId="0" fillId="0" borderId="0" xfId="0" applyNumberFormat="1"/>
    <xf numFmtId="49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MRR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Summary_Charts!$A$4:$A$15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Summary_Charts!$B$4:$B$15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64</c:v>
                </c:pt>
                <c:pt idx="3">
                  <c:v>100</c:v>
                </c:pt>
                <c:pt idx="4">
                  <c:v>121</c:v>
                </c:pt>
                <c:pt idx="5">
                  <c:v>166</c:v>
                </c:pt>
                <c:pt idx="6">
                  <c:v>242</c:v>
                </c:pt>
                <c:pt idx="7">
                  <c:v>307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57-47B2-A976-0809240EE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649615"/>
        <c:axId val="401650095"/>
      </c:lineChart>
      <c:catAx>
        <c:axId val="40164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50095"/>
        <c:crosses val="autoZero"/>
        <c:auto val="1"/>
        <c:lblAlgn val="ctr"/>
        <c:lblOffset val="100"/>
        <c:noMultiLvlLbl val="0"/>
      </c:catAx>
      <c:valAx>
        <c:axId val="40165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4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bg1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LTV by Customer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Monthly_KPIs!$I$1</c:f>
              <c:strCache>
                <c:ptCount val="1"/>
                <c:pt idx="0">
                  <c:v>LTV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Monthly_KPIs!$H$2:$H$3</c:f>
              <c:strCache>
                <c:ptCount val="2"/>
                <c:pt idx="0">
                  <c:v>Pro</c:v>
                </c:pt>
                <c:pt idx="1">
                  <c:v>Enterprise</c:v>
                </c:pt>
              </c:strCache>
            </c:strRef>
          </c:cat>
          <c:val>
            <c:numRef>
              <c:f>Monthly_KPIs!$I$2:$I$3</c:f>
              <c:numCache>
                <c:formatCode>General</c:formatCode>
                <c:ptCount val="2"/>
                <c:pt idx="0">
                  <c:v>400</c:v>
                </c:pt>
                <c:pt idx="1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E-496F-9EF0-16B093D76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01671695"/>
        <c:axId val="401672175"/>
      </c:barChart>
      <c:catAx>
        <c:axId val="4016716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72175"/>
        <c:crosses val="autoZero"/>
        <c:auto val="1"/>
        <c:lblAlgn val="ctr"/>
        <c:lblOffset val="100"/>
        <c:noMultiLvlLbl val="0"/>
      </c:catAx>
      <c:valAx>
        <c:axId val="401672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7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16</xdr:row>
      <xdr:rowOff>167640</xdr:rowOff>
    </xdr:from>
    <xdr:to>
      <xdr:col>7</xdr:col>
      <xdr:colOff>30480</xdr:colOff>
      <xdr:row>31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BEAEC-75F7-9DCA-15A6-1CDF0ADAF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304800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0E2DF0-61B4-70C8-E661-D7204A4DB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O15" sqref="O15"/>
    </sheetView>
  </sheetViews>
  <sheetFormatPr defaultRowHeight="14.4"/>
  <cols>
    <col min="4" max="4" width="21.109375" style="9" customWidth="1"/>
    <col min="7" max="7" width="13.5546875" customWidth="1"/>
    <col min="9" max="9" width="14.109375" customWidth="1"/>
    <col min="10" max="10" width="17.109375" customWidth="1"/>
    <col min="11" max="11" width="14" customWidth="1"/>
  </cols>
  <sheetData>
    <row r="1" spans="1:12">
      <c r="A1" t="s">
        <v>0</v>
      </c>
      <c r="B1" t="s">
        <v>1</v>
      </c>
      <c r="C1" t="s">
        <v>2</v>
      </c>
      <c r="D1" s="9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45354</v>
      </c>
      <c r="C2" t="s">
        <v>13</v>
      </c>
      <c r="D2" s="9" t="s">
        <v>14</v>
      </c>
      <c r="E2" s="2">
        <v>45534</v>
      </c>
      <c r="F2" t="b">
        <v>0</v>
      </c>
      <c r="G2" s="8" t="s">
        <v>15</v>
      </c>
      <c r="H2">
        <v>181</v>
      </c>
      <c r="I2">
        <v>5</v>
      </c>
      <c r="J2">
        <v>4</v>
      </c>
      <c r="K2">
        <v>603</v>
      </c>
      <c r="L2">
        <v>1</v>
      </c>
    </row>
    <row r="3" spans="1:12">
      <c r="A3" t="s">
        <v>16</v>
      </c>
      <c r="B3" s="1">
        <v>45354</v>
      </c>
      <c r="C3" t="s">
        <v>13</v>
      </c>
      <c r="D3" s="9" t="s">
        <v>17</v>
      </c>
      <c r="E3" s="2">
        <v>45521</v>
      </c>
      <c r="F3" t="b">
        <v>1</v>
      </c>
      <c r="G3" t="s">
        <v>15</v>
      </c>
      <c r="H3">
        <v>181</v>
      </c>
      <c r="I3">
        <v>14</v>
      </c>
      <c r="J3">
        <v>11</v>
      </c>
      <c r="K3">
        <v>603</v>
      </c>
      <c r="L3">
        <v>0</v>
      </c>
    </row>
    <row r="4" spans="1:12">
      <c r="A4" t="s">
        <v>18</v>
      </c>
      <c r="B4" s="1">
        <v>45355</v>
      </c>
      <c r="C4" t="s">
        <v>19</v>
      </c>
      <c r="D4" s="9" t="s">
        <v>20</v>
      </c>
      <c r="E4" s="2">
        <v>45517</v>
      </c>
      <c r="F4" t="b">
        <v>1</v>
      </c>
      <c r="G4" t="s">
        <v>15</v>
      </c>
      <c r="H4">
        <v>180</v>
      </c>
      <c r="I4">
        <v>18</v>
      </c>
      <c r="J4">
        <v>2</v>
      </c>
      <c r="K4">
        <v>602</v>
      </c>
      <c r="L4">
        <v>1</v>
      </c>
    </row>
    <row r="5" spans="1:12">
      <c r="A5" t="s">
        <v>21</v>
      </c>
      <c r="B5" s="1">
        <v>45356</v>
      </c>
      <c r="C5" t="s">
        <v>22</v>
      </c>
      <c r="D5" s="9" t="s">
        <v>14</v>
      </c>
      <c r="E5" s="2">
        <v>45533</v>
      </c>
      <c r="F5" t="b">
        <v>1</v>
      </c>
      <c r="G5" t="s">
        <v>15</v>
      </c>
      <c r="H5">
        <v>179</v>
      </c>
      <c r="I5">
        <v>2</v>
      </c>
      <c r="J5">
        <v>2</v>
      </c>
      <c r="K5">
        <v>601</v>
      </c>
      <c r="L5">
        <v>1</v>
      </c>
    </row>
    <row r="6" spans="1:12">
      <c r="A6" t="s">
        <v>23</v>
      </c>
      <c r="B6" s="1">
        <v>45357</v>
      </c>
      <c r="C6" t="s">
        <v>24</v>
      </c>
      <c r="D6" s="9" t="s">
        <v>14</v>
      </c>
      <c r="E6" s="2">
        <v>45518</v>
      </c>
      <c r="F6" t="b">
        <v>1</v>
      </c>
      <c r="G6" t="s">
        <v>15</v>
      </c>
      <c r="H6">
        <v>178</v>
      </c>
      <c r="I6">
        <v>17</v>
      </c>
      <c r="J6">
        <v>2</v>
      </c>
      <c r="K6">
        <v>600</v>
      </c>
      <c r="L6">
        <v>1</v>
      </c>
    </row>
    <row r="7" spans="1:12">
      <c r="A7" t="s">
        <v>25</v>
      </c>
      <c r="B7" s="1">
        <v>45358</v>
      </c>
      <c r="C7" t="s">
        <v>13</v>
      </c>
      <c r="D7" s="9" t="s">
        <v>26</v>
      </c>
      <c r="E7" s="2">
        <v>45517</v>
      </c>
      <c r="F7" t="b">
        <v>1</v>
      </c>
      <c r="G7" t="s">
        <v>15</v>
      </c>
      <c r="H7">
        <v>177</v>
      </c>
      <c r="I7">
        <v>18</v>
      </c>
      <c r="J7">
        <v>1</v>
      </c>
      <c r="K7">
        <v>599</v>
      </c>
      <c r="L7">
        <v>1</v>
      </c>
    </row>
    <row r="8" spans="1:12">
      <c r="A8" t="s">
        <v>27</v>
      </c>
      <c r="B8" s="1">
        <v>45358</v>
      </c>
      <c r="C8" t="s">
        <v>13</v>
      </c>
      <c r="D8" s="9" t="s">
        <v>14</v>
      </c>
      <c r="E8" s="2">
        <v>45511</v>
      </c>
      <c r="F8" t="b">
        <v>0</v>
      </c>
      <c r="G8" t="s">
        <v>15</v>
      </c>
      <c r="H8">
        <v>177</v>
      </c>
      <c r="I8">
        <v>15</v>
      </c>
      <c r="J8">
        <v>1</v>
      </c>
      <c r="K8">
        <v>599</v>
      </c>
      <c r="L8">
        <v>1</v>
      </c>
    </row>
    <row r="9" spans="1:12">
      <c r="A9" t="s">
        <v>28</v>
      </c>
      <c r="B9" s="1">
        <v>45358</v>
      </c>
      <c r="C9" t="s">
        <v>24</v>
      </c>
      <c r="D9" s="9" t="s">
        <v>26</v>
      </c>
      <c r="E9" s="2">
        <v>45529</v>
      </c>
      <c r="F9" t="b">
        <v>1</v>
      </c>
      <c r="G9" t="s">
        <v>15</v>
      </c>
      <c r="H9">
        <v>177</v>
      </c>
      <c r="I9">
        <v>6</v>
      </c>
      <c r="J9">
        <v>3</v>
      </c>
      <c r="K9">
        <v>599</v>
      </c>
      <c r="L9">
        <v>1</v>
      </c>
    </row>
    <row r="10" spans="1:12">
      <c r="A10" t="s">
        <v>29</v>
      </c>
      <c r="B10" s="1">
        <v>45358</v>
      </c>
      <c r="C10" t="s">
        <v>30</v>
      </c>
      <c r="D10" s="9" t="s">
        <v>14</v>
      </c>
      <c r="E10" s="2">
        <v>45532</v>
      </c>
      <c r="F10" t="b">
        <v>1</v>
      </c>
      <c r="G10" t="s">
        <v>15</v>
      </c>
      <c r="H10">
        <v>177</v>
      </c>
      <c r="I10">
        <v>3</v>
      </c>
      <c r="J10">
        <v>2</v>
      </c>
      <c r="K10">
        <v>599</v>
      </c>
      <c r="L10">
        <v>1</v>
      </c>
    </row>
    <row r="11" spans="1:12">
      <c r="A11" t="s">
        <v>31</v>
      </c>
      <c r="B11" s="1">
        <v>45359</v>
      </c>
      <c r="C11" t="s">
        <v>13</v>
      </c>
      <c r="D11" s="9" t="s">
        <v>17</v>
      </c>
      <c r="E11" s="2">
        <v>45522</v>
      </c>
      <c r="F11" t="b">
        <v>1</v>
      </c>
      <c r="G11" t="s">
        <v>15</v>
      </c>
      <c r="H11">
        <v>176</v>
      </c>
      <c r="I11">
        <v>13</v>
      </c>
      <c r="J11">
        <v>16</v>
      </c>
      <c r="K11">
        <v>598</v>
      </c>
      <c r="L11">
        <v>0</v>
      </c>
    </row>
    <row r="12" spans="1:12">
      <c r="A12" t="s">
        <v>32</v>
      </c>
      <c r="B12" s="1">
        <v>45359</v>
      </c>
      <c r="C12" t="s">
        <v>33</v>
      </c>
      <c r="D12" s="9" t="s">
        <v>14</v>
      </c>
      <c r="E12" s="2">
        <v>45532</v>
      </c>
      <c r="F12" t="b">
        <v>1</v>
      </c>
      <c r="G12" t="s">
        <v>15</v>
      </c>
      <c r="H12">
        <v>176</v>
      </c>
      <c r="I12">
        <v>3</v>
      </c>
      <c r="J12">
        <v>1</v>
      </c>
      <c r="K12">
        <v>598</v>
      </c>
      <c r="L12">
        <v>1</v>
      </c>
    </row>
    <row r="13" spans="1:12">
      <c r="A13" t="s">
        <v>34</v>
      </c>
      <c r="B13" s="1">
        <v>45360</v>
      </c>
      <c r="C13" t="s">
        <v>24</v>
      </c>
      <c r="D13" s="9" t="s">
        <v>17</v>
      </c>
      <c r="E13" s="2">
        <v>45560</v>
      </c>
      <c r="F13" t="b">
        <v>0</v>
      </c>
      <c r="G13" t="s">
        <v>15</v>
      </c>
      <c r="H13">
        <v>175</v>
      </c>
      <c r="I13">
        <v>20</v>
      </c>
      <c r="J13">
        <v>5</v>
      </c>
      <c r="K13">
        <v>597</v>
      </c>
      <c r="L13">
        <v>1</v>
      </c>
    </row>
    <row r="14" spans="1:12">
      <c r="A14" t="s">
        <v>35</v>
      </c>
      <c r="B14" s="1">
        <v>45360</v>
      </c>
      <c r="C14" t="s">
        <v>13</v>
      </c>
      <c r="D14" s="9" t="s">
        <v>17</v>
      </c>
      <c r="E14" s="2">
        <v>45564</v>
      </c>
      <c r="F14" t="b">
        <v>1</v>
      </c>
      <c r="G14" t="s">
        <v>15</v>
      </c>
      <c r="H14">
        <v>175</v>
      </c>
      <c r="I14">
        <v>14</v>
      </c>
      <c r="J14">
        <v>18</v>
      </c>
      <c r="K14">
        <v>597</v>
      </c>
      <c r="L14">
        <v>0</v>
      </c>
    </row>
    <row r="15" spans="1:12">
      <c r="A15" t="s">
        <v>36</v>
      </c>
      <c r="B15" s="1">
        <v>45360</v>
      </c>
      <c r="C15" t="s">
        <v>37</v>
      </c>
      <c r="D15" s="9" t="s">
        <v>14</v>
      </c>
      <c r="E15" s="2">
        <v>45548</v>
      </c>
      <c r="F15" t="b">
        <v>1</v>
      </c>
      <c r="G15" t="s">
        <v>15</v>
      </c>
      <c r="H15">
        <v>175</v>
      </c>
      <c r="I15">
        <v>19</v>
      </c>
      <c r="J15">
        <v>1</v>
      </c>
      <c r="K15">
        <v>597</v>
      </c>
      <c r="L15">
        <v>1</v>
      </c>
    </row>
    <row r="16" spans="1:12">
      <c r="A16" t="s">
        <v>38</v>
      </c>
      <c r="B16" s="1">
        <v>45361</v>
      </c>
      <c r="C16" t="s">
        <v>13</v>
      </c>
      <c r="D16" s="9" t="s">
        <v>26</v>
      </c>
      <c r="E16" s="2">
        <v>45593</v>
      </c>
      <c r="F16" t="b">
        <v>0</v>
      </c>
      <c r="G16" t="s">
        <v>15</v>
      </c>
      <c r="H16">
        <v>174</v>
      </c>
      <c r="I16">
        <v>2</v>
      </c>
      <c r="J16">
        <v>2</v>
      </c>
      <c r="K16">
        <v>596</v>
      </c>
      <c r="L16">
        <v>1</v>
      </c>
    </row>
    <row r="17" spans="1:12">
      <c r="A17" t="s">
        <v>39</v>
      </c>
      <c r="B17" s="1">
        <v>45362</v>
      </c>
      <c r="C17" t="s">
        <v>24</v>
      </c>
      <c r="D17" s="9" t="s">
        <v>14</v>
      </c>
      <c r="E17" s="2">
        <v>45607</v>
      </c>
      <c r="F17" t="b">
        <v>1</v>
      </c>
      <c r="G17" t="s">
        <v>15</v>
      </c>
      <c r="H17">
        <v>173</v>
      </c>
      <c r="I17">
        <v>4</v>
      </c>
      <c r="J17">
        <v>1</v>
      </c>
      <c r="K17">
        <v>595</v>
      </c>
      <c r="L17">
        <v>1</v>
      </c>
    </row>
    <row r="18" spans="1:12">
      <c r="A18" t="s">
        <v>40</v>
      </c>
      <c r="B18" s="1">
        <v>45362</v>
      </c>
      <c r="C18" t="s">
        <v>13</v>
      </c>
      <c r="D18" s="9" t="s">
        <v>20</v>
      </c>
      <c r="E18" s="2">
        <v>45608</v>
      </c>
      <c r="F18" t="b">
        <v>0</v>
      </c>
      <c r="G18" t="s">
        <v>15</v>
      </c>
      <c r="H18">
        <v>173</v>
      </c>
      <c r="I18">
        <v>28</v>
      </c>
      <c r="J18">
        <v>3</v>
      </c>
      <c r="K18">
        <v>595</v>
      </c>
      <c r="L18">
        <v>1</v>
      </c>
    </row>
    <row r="19" spans="1:12">
      <c r="A19" t="s">
        <v>41</v>
      </c>
      <c r="B19" s="1">
        <v>45362</v>
      </c>
      <c r="C19" t="s">
        <v>22</v>
      </c>
      <c r="D19" s="9" t="s">
        <v>17</v>
      </c>
      <c r="E19" s="2">
        <v>45628</v>
      </c>
      <c r="F19" t="b">
        <v>1</v>
      </c>
      <c r="G19" t="s">
        <v>15</v>
      </c>
      <c r="H19">
        <v>173</v>
      </c>
      <c r="I19">
        <v>21</v>
      </c>
      <c r="J19">
        <v>8</v>
      </c>
      <c r="K19">
        <v>595</v>
      </c>
      <c r="L19">
        <v>1</v>
      </c>
    </row>
    <row r="20" spans="1:12">
      <c r="A20" t="s">
        <v>42</v>
      </c>
      <c r="B20" s="1">
        <v>45362</v>
      </c>
      <c r="C20" t="s">
        <v>33</v>
      </c>
      <c r="D20" s="9" t="s">
        <v>26</v>
      </c>
      <c r="E20" s="2">
        <v>45603</v>
      </c>
      <c r="F20" t="b">
        <v>1</v>
      </c>
      <c r="G20" t="s">
        <v>15</v>
      </c>
      <c r="H20">
        <v>173</v>
      </c>
      <c r="I20">
        <v>29</v>
      </c>
      <c r="J20">
        <v>6</v>
      </c>
      <c r="K20">
        <v>595</v>
      </c>
      <c r="L20">
        <v>1</v>
      </c>
    </row>
    <row r="21" spans="1:12">
      <c r="A21" t="s">
        <v>43</v>
      </c>
      <c r="B21" s="1">
        <v>45363</v>
      </c>
      <c r="C21" t="s">
        <v>13</v>
      </c>
      <c r="D21" s="9" t="s">
        <v>26</v>
      </c>
      <c r="E21" s="2">
        <v>45640</v>
      </c>
      <c r="F21" t="b">
        <v>1</v>
      </c>
      <c r="G21" t="s">
        <v>15</v>
      </c>
      <c r="H21">
        <v>172</v>
      </c>
      <c r="I21">
        <v>1</v>
      </c>
      <c r="J21">
        <v>2</v>
      </c>
      <c r="K21">
        <v>594</v>
      </c>
      <c r="L21">
        <v>1</v>
      </c>
    </row>
    <row r="22" spans="1:12">
      <c r="A22" t="s">
        <v>44</v>
      </c>
      <c r="B22" s="1">
        <v>45363</v>
      </c>
      <c r="C22" t="s">
        <v>24</v>
      </c>
      <c r="D22" s="9" t="s">
        <v>20</v>
      </c>
      <c r="E22" s="2">
        <v>45658</v>
      </c>
      <c r="F22" t="b">
        <v>1</v>
      </c>
      <c r="G22" t="s">
        <v>15</v>
      </c>
      <c r="H22">
        <v>172</v>
      </c>
      <c r="I22">
        <v>26</v>
      </c>
      <c r="J22">
        <v>6</v>
      </c>
      <c r="K22">
        <v>594</v>
      </c>
      <c r="L22">
        <v>1</v>
      </c>
    </row>
    <row r="23" spans="1:12">
      <c r="A23" t="s">
        <v>45</v>
      </c>
      <c r="B23" s="1">
        <v>45592.82916666667</v>
      </c>
      <c r="C23" t="s">
        <v>24</v>
      </c>
      <c r="D23" s="9" t="s">
        <v>20</v>
      </c>
      <c r="E23" s="2">
        <v>45520</v>
      </c>
      <c r="F23" t="b">
        <v>1</v>
      </c>
      <c r="G23" t="s">
        <v>15</v>
      </c>
      <c r="H23">
        <v>171</v>
      </c>
      <c r="I23">
        <v>15</v>
      </c>
      <c r="J23">
        <v>2</v>
      </c>
      <c r="K23">
        <v>574</v>
      </c>
      <c r="L23">
        <v>2</v>
      </c>
    </row>
    <row r="24" spans="1:12">
      <c r="A24" t="s">
        <v>46</v>
      </c>
      <c r="B24" s="1">
        <v>45332</v>
      </c>
      <c r="C24" t="s">
        <v>33</v>
      </c>
      <c r="D24" s="9" t="s">
        <v>26</v>
      </c>
      <c r="E24" s="2">
        <v>45518</v>
      </c>
      <c r="F24" t="b">
        <v>1</v>
      </c>
      <c r="G24" t="s">
        <v>15</v>
      </c>
      <c r="H24">
        <v>171</v>
      </c>
      <c r="I24">
        <v>17</v>
      </c>
      <c r="J24">
        <v>4</v>
      </c>
      <c r="K24">
        <v>625</v>
      </c>
      <c r="L24">
        <v>1</v>
      </c>
    </row>
    <row r="25" spans="1:12">
      <c r="A25" t="s">
        <v>47</v>
      </c>
      <c r="B25" s="1">
        <v>45455</v>
      </c>
      <c r="C25" t="s">
        <v>30</v>
      </c>
      <c r="D25" s="9" t="s">
        <v>20</v>
      </c>
      <c r="E25" s="2">
        <v>45509</v>
      </c>
      <c r="F25" t="b">
        <v>0</v>
      </c>
      <c r="G25" t="s">
        <v>15</v>
      </c>
      <c r="H25">
        <v>170</v>
      </c>
      <c r="I25">
        <v>14</v>
      </c>
      <c r="J25">
        <v>4</v>
      </c>
      <c r="K25">
        <v>502</v>
      </c>
      <c r="L25">
        <v>1</v>
      </c>
    </row>
    <row r="26" spans="1:12">
      <c r="A26" t="s">
        <v>48</v>
      </c>
      <c r="B26" s="1">
        <v>45517.881249999999</v>
      </c>
      <c r="C26" t="s">
        <v>24</v>
      </c>
      <c r="D26" s="9" t="s">
        <v>26</v>
      </c>
      <c r="E26" s="2">
        <v>45511</v>
      </c>
      <c r="F26" t="b">
        <v>1</v>
      </c>
      <c r="G26" t="s">
        <v>15</v>
      </c>
      <c r="H26">
        <v>170</v>
      </c>
      <c r="I26">
        <v>24</v>
      </c>
      <c r="J26">
        <v>5</v>
      </c>
      <c r="K26">
        <v>372</v>
      </c>
      <c r="L26">
        <v>2</v>
      </c>
    </row>
    <row r="27" spans="1:12">
      <c r="A27" t="s">
        <v>49</v>
      </c>
      <c r="B27" s="1">
        <v>45442.535416666666</v>
      </c>
      <c r="C27" t="s">
        <v>33</v>
      </c>
      <c r="D27" s="9" t="s">
        <v>14</v>
      </c>
      <c r="E27" s="2">
        <v>45517</v>
      </c>
      <c r="F27" t="b">
        <v>0</v>
      </c>
      <c r="G27" t="s">
        <v>15</v>
      </c>
      <c r="H27">
        <v>170</v>
      </c>
      <c r="I27">
        <v>22</v>
      </c>
      <c r="J27">
        <v>3</v>
      </c>
      <c r="K27">
        <v>380</v>
      </c>
      <c r="L27">
        <v>2</v>
      </c>
    </row>
    <row r="28" spans="1:12">
      <c r="A28" t="s">
        <v>50</v>
      </c>
      <c r="B28" s="1">
        <v>45320.146527777775</v>
      </c>
      <c r="C28" t="s">
        <v>51</v>
      </c>
      <c r="D28" s="9" t="s">
        <v>14</v>
      </c>
      <c r="E28" s="2">
        <v>45525</v>
      </c>
      <c r="F28" t="b">
        <v>0</v>
      </c>
      <c r="G28" t="s">
        <v>15</v>
      </c>
      <c r="H28">
        <v>170</v>
      </c>
      <c r="I28">
        <v>19</v>
      </c>
      <c r="J28">
        <v>4</v>
      </c>
      <c r="K28">
        <v>607</v>
      </c>
      <c r="L28">
        <v>2</v>
      </c>
    </row>
    <row r="29" spans="1:12">
      <c r="A29" t="s">
        <v>52</v>
      </c>
      <c r="B29" s="1">
        <v>45353</v>
      </c>
      <c r="C29" t="s">
        <v>13</v>
      </c>
      <c r="D29" s="9" t="s">
        <v>14</v>
      </c>
      <c r="E29" s="2">
        <v>45519</v>
      </c>
      <c r="F29" t="b">
        <v>1</v>
      </c>
      <c r="G29" t="s">
        <v>15</v>
      </c>
      <c r="H29">
        <v>169</v>
      </c>
      <c r="I29">
        <v>16</v>
      </c>
      <c r="J29">
        <v>1</v>
      </c>
      <c r="K29">
        <v>604</v>
      </c>
      <c r="L29">
        <v>1</v>
      </c>
    </row>
    <row r="30" spans="1:12">
      <c r="A30" t="s">
        <v>53</v>
      </c>
      <c r="B30" s="1">
        <v>45390.676388888889</v>
      </c>
      <c r="C30" t="s">
        <v>33</v>
      </c>
      <c r="D30" s="9" t="s">
        <v>14</v>
      </c>
      <c r="E30" s="2">
        <v>45523</v>
      </c>
      <c r="F30" t="b">
        <v>0</v>
      </c>
      <c r="G30" t="s">
        <v>15</v>
      </c>
      <c r="H30">
        <v>169</v>
      </c>
      <c r="I30">
        <v>26</v>
      </c>
      <c r="J30">
        <v>1</v>
      </c>
      <c r="K30">
        <v>386</v>
      </c>
      <c r="L30">
        <v>2</v>
      </c>
    </row>
    <row r="31" spans="1:12">
      <c r="A31" t="s">
        <v>54</v>
      </c>
      <c r="B31" s="1">
        <v>45331.661111111112</v>
      </c>
      <c r="C31" t="s">
        <v>24</v>
      </c>
      <c r="D31" s="9" t="s">
        <v>17</v>
      </c>
      <c r="E31" s="2">
        <v>45518</v>
      </c>
      <c r="F31" t="b">
        <v>0</v>
      </c>
      <c r="G31" t="s">
        <v>15</v>
      </c>
      <c r="H31">
        <v>169</v>
      </c>
      <c r="I31">
        <v>26</v>
      </c>
      <c r="J31">
        <v>15</v>
      </c>
      <c r="K31">
        <v>522</v>
      </c>
      <c r="L31">
        <v>0</v>
      </c>
    </row>
    <row r="32" spans="1:12">
      <c r="A32" t="s">
        <v>55</v>
      </c>
      <c r="B32" s="1">
        <v>45442.743055555555</v>
      </c>
      <c r="C32" t="s">
        <v>13</v>
      </c>
      <c r="D32" s="9" t="s">
        <v>14</v>
      </c>
      <c r="E32" s="2">
        <v>45522</v>
      </c>
      <c r="F32" t="b">
        <v>0</v>
      </c>
      <c r="G32" t="s">
        <v>15</v>
      </c>
      <c r="H32">
        <v>169</v>
      </c>
      <c r="I32">
        <v>19</v>
      </c>
      <c r="J32">
        <v>4</v>
      </c>
      <c r="K32">
        <v>400</v>
      </c>
      <c r="L32">
        <v>2</v>
      </c>
    </row>
    <row r="33" spans="1:12">
      <c r="A33" t="s">
        <v>56</v>
      </c>
      <c r="B33" s="1">
        <v>45420</v>
      </c>
      <c r="C33" t="s">
        <v>30</v>
      </c>
      <c r="D33" s="9" t="s">
        <v>17</v>
      </c>
      <c r="E33" s="2">
        <v>45532</v>
      </c>
      <c r="F33" t="b">
        <v>1</v>
      </c>
      <c r="G33" t="s">
        <v>15</v>
      </c>
      <c r="H33">
        <v>168</v>
      </c>
      <c r="I33">
        <v>3</v>
      </c>
      <c r="J33">
        <v>13</v>
      </c>
      <c r="K33">
        <v>537</v>
      </c>
      <c r="L33">
        <v>0</v>
      </c>
    </row>
    <row r="34" spans="1:12">
      <c r="A34" t="s">
        <v>57</v>
      </c>
      <c r="B34" s="1">
        <v>45402.190972222219</v>
      </c>
      <c r="C34" t="s">
        <v>13</v>
      </c>
      <c r="D34" s="9" t="s">
        <v>26</v>
      </c>
      <c r="E34" s="2">
        <v>45533</v>
      </c>
      <c r="F34" t="b">
        <v>1</v>
      </c>
      <c r="G34" t="s">
        <v>15</v>
      </c>
      <c r="H34">
        <v>167</v>
      </c>
      <c r="I34">
        <v>2</v>
      </c>
      <c r="J34">
        <v>3</v>
      </c>
      <c r="K34">
        <v>634</v>
      </c>
      <c r="L34">
        <v>2</v>
      </c>
    </row>
    <row r="35" spans="1:12">
      <c r="A35" t="s">
        <v>58</v>
      </c>
      <c r="B35" s="1">
        <v>45604.536111111112</v>
      </c>
      <c r="C35" t="s">
        <v>37</v>
      </c>
      <c r="D35" s="9" t="s">
        <v>17</v>
      </c>
      <c r="E35" s="2">
        <v>45531</v>
      </c>
      <c r="F35" t="b">
        <v>0</v>
      </c>
      <c r="G35" t="s">
        <v>15</v>
      </c>
      <c r="H35">
        <v>167</v>
      </c>
      <c r="I35">
        <v>16</v>
      </c>
      <c r="J35">
        <v>11</v>
      </c>
      <c r="K35">
        <v>418</v>
      </c>
      <c r="L35">
        <v>0</v>
      </c>
    </row>
    <row r="36" spans="1:12">
      <c r="A36" t="s">
        <v>59</v>
      </c>
      <c r="B36" s="1">
        <v>45424</v>
      </c>
      <c r="C36" t="s">
        <v>30</v>
      </c>
      <c r="D36" s="9" t="s">
        <v>14</v>
      </c>
      <c r="E36" s="2">
        <v>45506</v>
      </c>
      <c r="F36" t="b">
        <v>1</v>
      </c>
      <c r="G36" t="s">
        <v>15</v>
      </c>
      <c r="H36">
        <v>167</v>
      </c>
      <c r="I36">
        <v>29</v>
      </c>
      <c r="J36">
        <v>4</v>
      </c>
      <c r="K36">
        <v>533</v>
      </c>
      <c r="L36">
        <v>1</v>
      </c>
    </row>
    <row r="37" spans="1:12">
      <c r="A37" t="s">
        <v>60</v>
      </c>
      <c r="B37" s="1">
        <v>45619.163194444445</v>
      </c>
      <c r="C37" t="s">
        <v>13</v>
      </c>
      <c r="D37" s="9" t="s">
        <v>26</v>
      </c>
      <c r="E37" s="2">
        <v>45533</v>
      </c>
      <c r="F37" t="b">
        <v>1</v>
      </c>
      <c r="G37" t="s">
        <v>15</v>
      </c>
      <c r="H37">
        <v>166</v>
      </c>
      <c r="I37">
        <v>2</v>
      </c>
      <c r="J37">
        <v>12</v>
      </c>
      <c r="K37">
        <v>386</v>
      </c>
      <c r="L37">
        <v>0</v>
      </c>
    </row>
    <row r="38" spans="1:12">
      <c r="A38" t="s">
        <v>61</v>
      </c>
      <c r="B38" s="1">
        <v>45324.188888888886</v>
      </c>
      <c r="C38" t="s">
        <v>22</v>
      </c>
      <c r="D38" s="9" t="s">
        <v>26</v>
      </c>
      <c r="E38" s="2">
        <v>45528</v>
      </c>
      <c r="F38" t="b">
        <v>1</v>
      </c>
      <c r="G38" t="s">
        <v>15</v>
      </c>
      <c r="H38">
        <v>165</v>
      </c>
      <c r="I38">
        <v>7</v>
      </c>
      <c r="J38">
        <v>1</v>
      </c>
      <c r="K38">
        <v>654</v>
      </c>
      <c r="L38">
        <v>2</v>
      </c>
    </row>
    <row r="39" spans="1:12">
      <c r="A39" t="s">
        <v>62</v>
      </c>
      <c r="B39" s="1">
        <v>45509</v>
      </c>
      <c r="C39" t="s">
        <v>37</v>
      </c>
      <c r="D39" s="9" t="s">
        <v>14</v>
      </c>
      <c r="E39" s="2">
        <v>45505</v>
      </c>
      <c r="F39" t="b">
        <v>0</v>
      </c>
      <c r="G39" t="s">
        <v>15</v>
      </c>
      <c r="H39">
        <v>164</v>
      </c>
      <c r="I39">
        <v>7</v>
      </c>
      <c r="J39">
        <v>2</v>
      </c>
      <c r="K39">
        <v>448</v>
      </c>
      <c r="L39">
        <v>1</v>
      </c>
    </row>
    <row r="40" spans="1:12">
      <c r="A40" t="s">
        <v>63</v>
      </c>
      <c r="B40" s="1">
        <v>45416.9</v>
      </c>
      <c r="C40" t="s">
        <v>37</v>
      </c>
      <c r="D40" s="9" t="s">
        <v>14</v>
      </c>
      <c r="E40" s="2">
        <v>45513</v>
      </c>
      <c r="F40" t="b">
        <v>0</v>
      </c>
      <c r="G40" t="s">
        <v>15</v>
      </c>
      <c r="H40">
        <v>164</v>
      </c>
      <c r="I40">
        <v>16</v>
      </c>
      <c r="J40">
        <v>1</v>
      </c>
      <c r="K40">
        <v>516</v>
      </c>
      <c r="L40">
        <v>2</v>
      </c>
    </row>
    <row r="41" spans="1:12">
      <c r="A41" t="s">
        <v>64</v>
      </c>
      <c r="B41" s="1">
        <v>45618.899305555555</v>
      </c>
      <c r="C41" t="s">
        <v>37</v>
      </c>
      <c r="D41" s="9" t="s">
        <v>26</v>
      </c>
      <c r="E41" s="2">
        <v>45530</v>
      </c>
      <c r="F41" t="b">
        <v>0</v>
      </c>
      <c r="G41" t="s">
        <v>15</v>
      </c>
      <c r="H41">
        <v>164</v>
      </c>
      <c r="I41">
        <v>8</v>
      </c>
      <c r="J41">
        <v>1</v>
      </c>
      <c r="K41">
        <v>338</v>
      </c>
      <c r="L41">
        <v>2</v>
      </c>
    </row>
    <row r="42" spans="1:12">
      <c r="A42" t="s">
        <v>65</v>
      </c>
      <c r="B42" s="1">
        <v>45296.002083333333</v>
      </c>
      <c r="C42" t="s">
        <v>13</v>
      </c>
      <c r="D42" s="9" t="s">
        <v>17</v>
      </c>
      <c r="E42" s="2">
        <v>45533</v>
      </c>
      <c r="F42" t="b">
        <v>1</v>
      </c>
      <c r="G42" t="s">
        <v>15</v>
      </c>
      <c r="H42">
        <v>164</v>
      </c>
      <c r="I42">
        <v>2</v>
      </c>
      <c r="J42">
        <v>5</v>
      </c>
      <c r="K42">
        <v>364</v>
      </c>
      <c r="L42">
        <v>2</v>
      </c>
    </row>
    <row r="43" spans="1:12">
      <c r="A43" t="s">
        <v>66</v>
      </c>
      <c r="B43" s="1">
        <v>45601.879861111112</v>
      </c>
      <c r="C43" t="s">
        <v>33</v>
      </c>
      <c r="D43" s="9" t="s">
        <v>26</v>
      </c>
      <c r="E43" s="2">
        <v>45508</v>
      </c>
      <c r="F43" t="b">
        <v>1</v>
      </c>
      <c r="G43" t="s">
        <v>15</v>
      </c>
      <c r="H43">
        <v>164</v>
      </c>
      <c r="I43">
        <v>27</v>
      </c>
      <c r="J43">
        <v>4</v>
      </c>
      <c r="K43">
        <v>445</v>
      </c>
      <c r="L43">
        <v>2</v>
      </c>
    </row>
    <row r="44" spans="1:12">
      <c r="A44" t="s">
        <v>67</v>
      </c>
      <c r="B44" s="1">
        <v>45500.625694444447</v>
      </c>
      <c r="C44" t="s">
        <v>30</v>
      </c>
      <c r="D44" s="9" t="s">
        <v>14</v>
      </c>
      <c r="E44" s="2">
        <v>45519</v>
      </c>
      <c r="F44" t="b">
        <v>0</v>
      </c>
      <c r="G44" t="s">
        <v>15</v>
      </c>
      <c r="H44">
        <v>163</v>
      </c>
      <c r="I44">
        <v>13</v>
      </c>
      <c r="J44">
        <v>1</v>
      </c>
      <c r="K44">
        <v>337</v>
      </c>
      <c r="L44">
        <v>2</v>
      </c>
    </row>
    <row r="45" spans="1:12">
      <c r="A45" t="s">
        <v>68</v>
      </c>
      <c r="B45" s="1">
        <v>45384.242361111108</v>
      </c>
      <c r="C45" t="s">
        <v>13</v>
      </c>
      <c r="D45" s="9" t="s">
        <v>26</v>
      </c>
      <c r="E45" s="2">
        <v>45525</v>
      </c>
      <c r="F45" t="b">
        <v>1</v>
      </c>
      <c r="G45" t="s">
        <v>15</v>
      </c>
      <c r="H45">
        <v>162</v>
      </c>
      <c r="I45">
        <v>10</v>
      </c>
      <c r="J45">
        <v>3</v>
      </c>
      <c r="K45">
        <v>661</v>
      </c>
      <c r="L45">
        <v>2</v>
      </c>
    </row>
    <row r="46" spans="1:12">
      <c r="A46" t="s">
        <v>69</v>
      </c>
      <c r="B46" s="1">
        <v>45480</v>
      </c>
      <c r="C46" t="s">
        <v>22</v>
      </c>
      <c r="D46" s="9" t="s">
        <v>14</v>
      </c>
      <c r="E46" s="2">
        <v>45512</v>
      </c>
      <c r="F46" t="b">
        <v>0</v>
      </c>
      <c r="G46" t="s">
        <v>15</v>
      </c>
      <c r="H46">
        <v>162</v>
      </c>
      <c r="I46">
        <v>16</v>
      </c>
      <c r="J46">
        <v>4</v>
      </c>
      <c r="K46">
        <v>477</v>
      </c>
      <c r="L46">
        <v>1</v>
      </c>
    </row>
    <row r="47" spans="1:12">
      <c r="A47" t="s">
        <v>70</v>
      </c>
      <c r="B47" s="1">
        <v>45628</v>
      </c>
      <c r="C47" t="s">
        <v>22</v>
      </c>
      <c r="D47" s="9" t="s">
        <v>14</v>
      </c>
      <c r="E47" s="2">
        <v>45508</v>
      </c>
      <c r="F47" t="b">
        <v>0</v>
      </c>
      <c r="G47" t="s">
        <v>15</v>
      </c>
      <c r="H47">
        <v>162</v>
      </c>
      <c r="I47">
        <v>11</v>
      </c>
      <c r="J47">
        <v>5</v>
      </c>
      <c r="K47">
        <v>329</v>
      </c>
      <c r="L47">
        <v>1</v>
      </c>
    </row>
    <row r="48" spans="1:12">
      <c r="A48" t="s">
        <v>71</v>
      </c>
      <c r="B48" s="1">
        <v>45498.491666666669</v>
      </c>
      <c r="C48" t="s">
        <v>13</v>
      </c>
      <c r="D48" s="9" t="s">
        <v>14</v>
      </c>
      <c r="E48" s="2">
        <v>45521</v>
      </c>
      <c r="F48" t="b">
        <v>0</v>
      </c>
      <c r="G48" t="s">
        <v>15</v>
      </c>
      <c r="H48">
        <v>161</v>
      </c>
      <c r="I48">
        <v>2</v>
      </c>
      <c r="J48">
        <v>2</v>
      </c>
      <c r="K48">
        <v>563</v>
      </c>
      <c r="L48">
        <v>2</v>
      </c>
    </row>
    <row r="49" spans="1:12">
      <c r="A49" t="s">
        <v>72</v>
      </c>
      <c r="B49" s="1">
        <v>45406.756944444445</v>
      </c>
      <c r="C49" t="s">
        <v>51</v>
      </c>
      <c r="D49" s="9" t="s">
        <v>14</v>
      </c>
      <c r="E49" s="2">
        <v>45515</v>
      </c>
      <c r="F49" t="b">
        <v>0</v>
      </c>
      <c r="G49" t="s">
        <v>15</v>
      </c>
      <c r="H49">
        <v>160</v>
      </c>
      <c r="I49">
        <v>16</v>
      </c>
      <c r="J49">
        <v>3</v>
      </c>
      <c r="K49">
        <v>613</v>
      </c>
      <c r="L49">
        <v>2</v>
      </c>
    </row>
    <row r="50" spans="1:12">
      <c r="A50" t="s">
        <v>73</v>
      </c>
      <c r="B50" s="1">
        <v>45388</v>
      </c>
      <c r="C50" t="s">
        <v>37</v>
      </c>
      <c r="D50" s="9" t="s">
        <v>20</v>
      </c>
      <c r="E50" s="2">
        <v>45523</v>
      </c>
      <c r="F50" t="b">
        <v>1</v>
      </c>
      <c r="G50" t="s">
        <v>15</v>
      </c>
      <c r="H50">
        <v>160</v>
      </c>
      <c r="I50">
        <v>12</v>
      </c>
      <c r="J50">
        <v>2</v>
      </c>
      <c r="K50">
        <v>569</v>
      </c>
      <c r="L50">
        <v>1</v>
      </c>
    </row>
    <row r="51" spans="1:12">
      <c r="A51" t="s">
        <v>74</v>
      </c>
      <c r="B51" s="1">
        <v>45600</v>
      </c>
      <c r="C51" t="s">
        <v>13</v>
      </c>
      <c r="D51" s="9" t="s">
        <v>14</v>
      </c>
      <c r="E51" s="2">
        <v>45507</v>
      </c>
      <c r="F51" t="b">
        <v>0</v>
      </c>
      <c r="G51" t="s">
        <v>15</v>
      </c>
      <c r="H51">
        <v>160</v>
      </c>
      <c r="I51">
        <v>16</v>
      </c>
      <c r="J51">
        <v>1</v>
      </c>
      <c r="K51">
        <v>357</v>
      </c>
      <c r="L51">
        <v>1</v>
      </c>
    </row>
    <row r="52" spans="1:12">
      <c r="A52" t="s">
        <v>75</v>
      </c>
      <c r="B52" s="1">
        <v>45361</v>
      </c>
      <c r="C52" t="s">
        <v>30</v>
      </c>
      <c r="D52" s="9" t="s">
        <v>26</v>
      </c>
      <c r="E52" s="2">
        <v>45508</v>
      </c>
      <c r="F52" t="b">
        <v>1</v>
      </c>
      <c r="G52" t="s">
        <v>15</v>
      </c>
      <c r="H52">
        <v>160</v>
      </c>
      <c r="I52">
        <v>27</v>
      </c>
      <c r="J52">
        <v>1</v>
      </c>
      <c r="K52">
        <v>596</v>
      </c>
      <c r="L52">
        <v>1</v>
      </c>
    </row>
    <row r="53" spans="1:12">
      <c r="A53" t="s">
        <v>76</v>
      </c>
      <c r="B53" s="1">
        <v>45512</v>
      </c>
      <c r="C53" t="s">
        <v>33</v>
      </c>
      <c r="D53" s="9" t="s">
        <v>20</v>
      </c>
      <c r="E53" s="2">
        <v>45531</v>
      </c>
      <c r="F53" t="b">
        <v>0</v>
      </c>
      <c r="G53" t="s">
        <v>15</v>
      </c>
      <c r="H53">
        <v>160</v>
      </c>
      <c r="I53">
        <v>23</v>
      </c>
      <c r="J53">
        <v>5</v>
      </c>
      <c r="K53">
        <v>445</v>
      </c>
      <c r="L53">
        <v>1</v>
      </c>
    </row>
    <row r="54" spans="1:12">
      <c r="A54" t="s">
        <v>77</v>
      </c>
      <c r="B54" s="1">
        <v>45326</v>
      </c>
      <c r="C54" t="s">
        <v>33</v>
      </c>
      <c r="D54" s="9" t="s">
        <v>26</v>
      </c>
      <c r="E54" s="2">
        <v>45513</v>
      </c>
      <c r="F54" t="b">
        <v>1</v>
      </c>
      <c r="G54" t="s">
        <v>15</v>
      </c>
      <c r="H54">
        <v>160</v>
      </c>
      <c r="I54">
        <v>22</v>
      </c>
      <c r="J54">
        <v>3</v>
      </c>
      <c r="K54">
        <v>631</v>
      </c>
      <c r="L54">
        <v>1</v>
      </c>
    </row>
    <row r="55" spans="1:12">
      <c r="A55" t="s">
        <v>78</v>
      </c>
      <c r="B55" s="1">
        <v>45624.027083333334</v>
      </c>
      <c r="C55" t="s">
        <v>13</v>
      </c>
      <c r="D55" s="9" t="s">
        <v>20</v>
      </c>
      <c r="E55" s="2">
        <v>45529</v>
      </c>
      <c r="F55" t="b">
        <v>0</v>
      </c>
      <c r="G55" t="s">
        <v>15</v>
      </c>
      <c r="H55">
        <v>159</v>
      </c>
      <c r="I55">
        <v>6</v>
      </c>
      <c r="J55">
        <v>2</v>
      </c>
      <c r="K55">
        <v>369</v>
      </c>
      <c r="L55">
        <v>2</v>
      </c>
    </row>
    <row r="56" spans="1:12">
      <c r="A56" t="s">
        <v>79</v>
      </c>
      <c r="B56" s="1">
        <v>45408.788888888892</v>
      </c>
      <c r="C56" t="s">
        <v>30</v>
      </c>
      <c r="D56" s="9" t="s">
        <v>26</v>
      </c>
      <c r="E56" s="2">
        <v>45526</v>
      </c>
      <c r="F56" t="b">
        <v>1</v>
      </c>
      <c r="G56" t="s">
        <v>15</v>
      </c>
      <c r="H56">
        <v>157</v>
      </c>
      <c r="I56">
        <v>9</v>
      </c>
      <c r="J56">
        <v>1</v>
      </c>
      <c r="K56">
        <v>334</v>
      </c>
      <c r="L56">
        <v>2</v>
      </c>
    </row>
    <row r="57" spans="1:12">
      <c r="A57" t="s">
        <v>80</v>
      </c>
      <c r="B57" s="1">
        <v>45421</v>
      </c>
      <c r="C57" t="s">
        <v>13</v>
      </c>
      <c r="D57" s="9" t="s">
        <v>14</v>
      </c>
      <c r="E57" s="2">
        <v>45531</v>
      </c>
      <c r="F57" t="b">
        <v>0</v>
      </c>
      <c r="G57" t="s">
        <v>15</v>
      </c>
      <c r="H57">
        <v>157</v>
      </c>
      <c r="I57">
        <v>24</v>
      </c>
      <c r="J57">
        <v>2</v>
      </c>
      <c r="K57">
        <v>536</v>
      </c>
      <c r="L57">
        <v>1</v>
      </c>
    </row>
    <row r="58" spans="1:12">
      <c r="A58" t="s">
        <v>81</v>
      </c>
      <c r="B58" s="1">
        <v>45608.814583333333</v>
      </c>
      <c r="C58" t="s">
        <v>24</v>
      </c>
      <c r="D58" s="9" t="s">
        <v>26</v>
      </c>
      <c r="E58" s="2">
        <v>45506</v>
      </c>
      <c r="F58" t="b">
        <v>1</v>
      </c>
      <c r="G58" t="s">
        <v>15</v>
      </c>
      <c r="H58">
        <v>157</v>
      </c>
      <c r="I58">
        <v>29</v>
      </c>
      <c r="J58">
        <v>5</v>
      </c>
      <c r="K58">
        <v>412</v>
      </c>
      <c r="L58">
        <v>2</v>
      </c>
    </row>
    <row r="59" spans="1:12">
      <c r="A59" t="s">
        <v>82</v>
      </c>
      <c r="B59" s="1">
        <v>45355</v>
      </c>
      <c r="C59" t="s">
        <v>19</v>
      </c>
      <c r="D59" s="9" t="s">
        <v>26</v>
      </c>
      <c r="E59" s="2">
        <v>45525</v>
      </c>
      <c r="F59" t="b">
        <v>1</v>
      </c>
      <c r="G59" t="s">
        <v>15</v>
      </c>
      <c r="H59">
        <v>157</v>
      </c>
      <c r="I59">
        <v>10</v>
      </c>
      <c r="J59">
        <v>1</v>
      </c>
      <c r="K59">
        <v>602</v>
      </c>
      <c r="L59">
        <v>1</v>
      </c>
    </row>
    <row r="60" spans="1:12">
      <c r="A60" t="s">
        <v>83</v>
      </c>
      <c r="B60" s="1">
        <v>45405.912499999999</v>
      </c>
      <c r="C60" t="s">
        <v>37</v>
      </c>
      <c r="D60" s="9" t="s">
        <v>17</v>
      </c>
      <c r="E60" s="2">
        <v>45525</v>
      </c>
      <c r="F60" t="b">
        <v>0</v>
      </c>
      <c r="G60" t="s">
        <v>15</v>
      </c>
      <c r="H60">
        <v>156</v>
      </c>
      <c r="I60">
        <v>18</v>
      </c>
      <c r="J60">
        <v>8</v>
      </c>
      <c r="K60">
        <v>418</v>
      </c>
      <c r="L60">
        <v>2</v>
      </c>
    </row>
    <row r="61" spans="1:12">
      <c r="A61" t="s">
        <v>84</v>
      </c>
      <c r="B61" s="1">
        <v>45577.796527777777</v>
      </c>
      <c r="C61" t="s">
        <v>37</v>
      </c>
      <c r="D61" s="9" t="s">
        <v>17</v>
      </c>
      <c r="E61" s="2">
        <v>45506</v>
      </c>
      <c r="F61" t="b">
        <v>0</v>
      </c>
      <c r="G61" t="s">
        <v>15</v>
      </c>
      <c r="H61">
        <v>155</v>
      </c>
      <c r="I61">
        <v>29</v>
      </c>
      <c r="J61">
        <v>12</v>
      </c>
      <c r="K61">
        <v>377</v>
      </c>
      <c r="L61">
        <v>0</v>
      </c>
    </row>
    <row r="62" spans="1:12">
      <c r="A62" t="s">
        <v>85</v>
      </c>
      <c r="B62" s="1">
        <v>45602.508333333331</v>
      </c>
      <c r="C62" t="s">
        <v>13</v>
      </c>
      <c r="D62" s="9" t="s">
        <v>14</v>
      </c>
      <c r="E62" s="2">
        <v>45510</v>
      </c>
      <c r="F62" t="b">
        <v>1</v>
      </c>
      <c r="G62" t="s">
        <v>15</v>
      </c>
      <c r="H62">
        <v>155</v>
      </c>
      <c r="I62">
        <v>25</v>
      </c>
      <c r="J62">
        <v>2</v>
      </c>
      <c r="K62">
        <v>470</v>
      </c>
      <c r="L62">
        <v>2</v>
      </c>
    </row>
    <row r="63" spans="1:12">
      <c r="A63" t="s">
        <v>86</v>
      </c>
      <c r="B63" s="1">
        <v>45630</v>
      </c>
      <c r="C63" t="s">
        <v>51</v>
      </c>
      <c r="D63" s="9" t="s">
        <v>26</v>
      </c>
      <c r="E63" s="2">
        <v>45521</v>
      </c>
      <c r="F63" t="b">
        <v>0</v>
      </c>
      <c r="G63" t="s">
        <v>15</v>
      </c>
      <c r="H63">
        <v>155</v>
      </c>
      <c r="I63">
        <v>30</v>
      </c>
      <c r="J63">
        <v>6</v>
      </c>
      <c r="K63">
        <v>327</v>
      </c>
      <c r="L63">
        <v>1</v>
      </c>
    </row>
    <row r="64" spans="1:12">
      <c r="A64" t="s">
        <v>87</v>
      </c>
      <c r="B64" s="1">
        <v>45341.177083333336</v>
      </c>
      <c r="C64" t="s">
        <v>30</v>
      </c>
      <c r="D64" s="9" t="s">
        <v>20</v>
      </c>
      <c r="E64" s="2">
        <v>45514</v>
      </c>
      <c r="F64" t="b">
        <v>1</v>
      </c>
      <c r="G64" t="s">
        <v>15</v>
      </c>
      <c r="H64">
        <v>154</v>
      </c>
      <c r="I64">
        <v>21</v>
      </c>
      <c r="J64">
        <v>2</v>
      </c>
      <c r="K64">
        <v>542</v>
      </c>
      <c r="L64">
        <v>2</v>
      </c>
    </row>
    <row r="65" spans="1:12">
      <c r="A65" t="s">
        <v>88</v>
      </c>
      <c r="B65" s="1">
        <v>45364.508333333331</v>
      </c>
      <c r="C65" t="s">
        <v>51</v>
      </c>
      <c r="D65" s="9" t="s">
        <v>14</v>
      </c>
      <c r="E65" s="2">
        <v>45520</v>
      </c>
      <c r="F65" t="b">
        <v>0</v>
      </c>
      <c r="G65" t="s">
        <v>15</v>
      </c>
      <c r="H65">
        <v>153</v>
      </c>
      <c r="I65">
        <v>6</v>
      </c>
      <c r="J65">
        <v>1</v>
      </c>
      <c r="K65">
        <v>629</v>
      </c>
      <c r="L65">
        <v>2</v>
      </c>
    </row>
    <row r="66" spans="1:12">
      <c r="A66" t="s">
        <v>89</v>
      </c>
      <c r="B66" s="1">
        <v>45383</v>
      </c>
      <c r="C66" t="s">
        <v>33</v>
      </c>
      <c r="D66" s="9" t="s">
        <v>20</v>
      </c>
      <c r="E66" s="2">
        <v>45530</v>
      </c>
      <c r="F66" t="b">
        <v>0</v>
      </c>
      <c r="G66" t="s">
        <v>90</v>
      </c>
      <c r="H66">
        <v>152</v>
      </c>
      <c r="I66">
        <v>29</v>
      </c>
      <c r="J66">
        <v>5</v>
      </c>
      <c r="K66">
        <v>574</v>
      </c>
      <c r="L66">
        <v>1</v>
      </c>
    </row>
    <row r="67" spans="1:12">
      <c r="A67" t="s">
        <v>91</v>
      </c>
      <c r="B67" s="1">
        <v>45383</v>
      </c>
      <c r="C67" t="s">
        <v>37</v>
      </c>
      <c r="D67" s="9" t="s">
        <v>26</v>
      </c>
      <c r="E67" s="2">
        <v>45523</v>
      </c>
      <c r="F67" t="b">
        <v>1</v>
      </c>
      <c r="G67" t="s">
        <v>90</v>
      </c>
      <c r="H67">
        <v>152</v>
      </c>
      <c r="I67">
        <v>12</v>
      </c>
      <c r="J67">
        <v>5</v>
      </c>
      <c r="K67">
        <v>574</v>
      </c>
      <c r="L67">
        <v>1</v>
      </c>
    </row>
    <row r="68" spans="1:12">
      <c r="A68" t="s">
        <v>92</v>
      </c>
      <c r="B68" s="1">
        <v>45383</v>
      </c>
      <c r="C68" t="s">
        <v>13</v>
      </c>
      <c r="D68" s="9" t="s">
        <v>26</v>
      </c>
      <c r="E68" s="2">
        <v>45514</v>
      </c>
      <c r="F68" t="b">
        <v>1</v>
      </c>
      <c r="G68" t="s">
        <v>90</v>
      </c>
      <c r="H68">
        <v>152</v>
      </c>
      <c r="I68">
        <v>21</v>
      </c>
      <c r="J68">
        <v>1</v>
      </c>
      <c r="K68">
        <v>574</v>
      </c>
      <c r="L68">
        <v>1</v>
      </c>
    </row>
    <row r="69" spans="1:12">
      <c r="A69" t="s">
        <v>93</v>
      </c>
      <c r="B69" s="1">
        <v>45384</v>
      </c>
      <c r="C69" t="s">
        <v>19</v>
      </c>
      <c r="D69" s="9" t="s">
        <v>14</v>
      </c>
      <c r="E69" s="2">
        <v>45522</v>
      </c>
      <c r="F69" t="b">
        <v>0</v>
      </c>
      <c r="G69" t="s">
        <v>90</v>
      </c>
      <c r="H69">
        <v>151</v>
      </c>
      <c r="I69">
        <v>21</v>
      </c>
      <c r="J69">
        <v>2</v>
      </c>
      <c r="K69">
        <v>573</v>
      </c>
      <c r="L69">
        <v>1</v>
      </c>
    </row>
    <row r="70" spans="1:12">
      <c r="A70" t="s">
        <v>94</v>
      </c>
      <c r="B70" s="1">
        <v>45384</v>
      </c>
      <c r="C70" t="s">
        <v>30</v>
      </c>
      <c r="D70" s="9" t="s">
        <v>26</v>
      </c>
      <c r="E70" s="2">
        <v>45513</v>
      </c>
      <c r="F70" t="b">
        <v>1</v>
      </c>
      <c r="G70" t="s">
        <v>90</v>
      </c>
      <c r="H70">
        <v>151</v>
      </c>
      <c r="I70">
        <v>22</v>
      </c>
      <c r="J70">
        <v>5</v>
      </c>
      <c r="K70">
        <v>573</v>
      </c>
      <c r="L70">
        <v>1</v>
      </c>
    </row>
    <row r="71" spans="1:12">
      <c r="A71" t="s">
        <v>95</v>
      </c>
      <c r="B71" s="1">
        <v>45384</v>
      </c>
      <c r="C71" t="s">
        <v>33</v>
      </c>
      <c r="D71" s="9" t="s">
        <v>26</v>
      </c>
      <c r="E71" s="2">
        <v>45533</v>
      </c>
      <c r="F71" t="b">
        <v>1</v>
      </c>
      <c r="G71" t="s">
        <v>90</v>
      </c>
      <c r="H71">
        <v>151</v>
      </c>
      <c r="I71">
        <v>2</v>
      </c>
      <c r="J71">
        <v>7</v>
      </c>
      <c r="K71">
        <v>573</v>
      </c>
      <c r="L71">
        <v>1</v>
      </c>
    </row>
    <row r="72" spans="1:12">
      <c r="A72" t="s">
        <v>96</v>
      </c>
      <c r="B72" s="1">
        <v>45385</v>
      </c>
      <c r="C72" t="s">
        <v>30</v>
      </c>
      <c r="D72" s="9" t="s">
        <v>26</v>
      </c>
      <c r="E72" s="2">
        <v>45505</v>
      </c>
      <c r="F72" t="b">
        <v>1</v>
      </c>
      <c r="G72" t="s">
        <v>90</v>
      </c>
      <c r="H72">
        <v>150</v>
      </c>
      <c r="I72">
        <v>30</v>
      </c>
      <c r="J72">
        <v>2</v>
      </c>
      <c r="K72">
        <v>572</v>
      </c>
      <c r="L72">
        <v>1</v>
      </c>
    </row>
    <row r="73" spans="1:12">
      <c r="A73" t="s">
        <v>97</v>
      </c>
      <c r="B73" s="1">
        <v>45386</v>
      </c>
      <c r="C73" t="s">
        <v>13</v>
      </c>
      <c r="D73" s="9" t="s">
        <v>26</v>
      </c>
      <c r="E73" s="2">
        <v>45521</v>
      </c>
      <c r="F73" t="b">
        <v>1</v>
      </c>
      <c r="G73" t="s">
        <v>90</v>
      </c>
      <c r="H73">
        <v>149</v>
      </c>
      <c r="I73">
        <v>14</v>
      </c>
      <c r="J73">
        <v>7</v>
      </c>
      <c r="K73">
        <v>571</v>
      </c>
      <c r="L73">
        <v>1</v>
      </c>
    </row>
    <row r="74" spans="1:12">
      <c r="A74" t="s">
        <v>98</v>
      </c>
      <c r="B74" s="1">
        <v>45386</v>
      </c>
      <c r="C74" t="s">
        <v>30</v>
      </c>
      <c r="D74" s="9" t="s">
        <v>14</v>
      </c>
      <c r="E74" s="2">
        <v>45514</v>
      </c>
      <c r="F74" t="b">
        <v>0</v>
      </c>
      <c r="G74" t="s">
        <v>90</v>
      </c>
      <c r="H74">
        <v>149</v>
      </c>
      <c r="I74">
        <v>3</v>
      </c>
      <c r="J74">
        <v>3</v>
      </c>
      <c r="K74">
        <v>571</v>
      </c>
      <c r="L74">
        <v>1</v>
      </c>
    </row>
    <row r="75" spans="1:12">
      <c r="A75" t="s">
        <v>99</v>
      </c>
      <c r="B75" s="1">
        <v>45387</v>
      </c>
      <c r="C75" t="s">
        <v>33</v>
      </c>
      <c r="D75" s="9" t="s">
        <v>26</v>
      </c>
      <c r="E75" s="2">
        <v>45530</v>
      </c>
      <c r="F75" t="b">
        <v>1</v>
      </c>
      <c r="G75" t="s">
        <v>90</v>
      </c>
      <c r="H75">
        <v>148</v>
      </c>
      <c r="I75">
        <v>5</v>
      </c>
      <c r="J75">
        <v>1</v>
      </c>
      <c r="K75">
        <v>570</v>
      </c>
      <c r="L75">
        <v>1</v>
      </c>
    </row>
    <row r="76" spans="1:12">
      <c r="A76" t="s">
        <v>100</v>
      </c>
      <c r="B76" s="1">
        <v>45387</v>
      </c>
      <c r="C76" t="s">
        <v>37</v>
      </c>
      <c r="D76" s="9" t="s">
        <v>20</v>
      </c>
      <c r="E76" s="2">
        <v>45515</v>
      </c>
      <c r="F76" t="b">
        <v>1</v>
      </c>
      <c r="G76" t="s">
        <v>90</v>
      </c>
      <c r="H76">
        <v>148</v>
      </c>
      <c r="I76">
        <v>20</v>
      </c>
      <c r="J76">
        <v>3</v>
      </c>
      <c r="K76">
        <v>570</v>
      </c>
      <c r="L76">
        <v>1</v>
      </c>
    </row>
    <row r="77" spans="1:12">
      <c r="A77" t="s">
        <v>101</v>
      </c>
      <c r="B77" s="1">
        <v>45387</v>
      </c>
      <c r="C77" t="s">
        <v>30</v>
      </c>
      <c r="D77" s="9" t="s">
        <v>17</v>
      </c>
      <c r="E77" s="2">
        <v>45507</v>
      </c>
      <c r="F77" t="b">
        <v>1</v>
      </c>
      <c r="G77" t="s">
        <v>90</v>
      </c>
      <c r="H77">
        <v>148</v>
      </c>
      <c r="I77">
        <v>28</v>
      </c>
      <c r="J77">
        <v>15</v>
      </c>
      <c r="K77">
        <v>570</v>
      </c>
      <c r="L77">
        <v>0</v>
      </c>
    </row>
    <row r="78" spans="1:12">
      <c r="A78" t="s">
        <v>102</v>
      </c>
      <c r="B78" s="1">
        <v>45387</v>
      </c>
      <c r="C78" t="s">
        <v>37</v>
      </c>
      <c r="D78" s="9" t="s">
        <v>14</v>
      </c>
      <c r="E78" s="2">
        <v>45530</v>
      </c>
      <c r="F78" t="b">
        <v>0</v>
      </c>
      <c r="G78" t="s">
        <v>90</v>
      </c>
      <c r="H78">
        <v>148</v>
      </c>
      <c r="I78">
        <v>9</v>
      </c>
      <c r="J78">
        <v>2</v>
      </c>
      <c r="K78">
        <v>570</v>
      </c>
      <c r="L78">
        <v>1</v>
      </c>
    </row>
    <row r="79" spans="1:12">
      <c r="A79" t="s">
        <v>103</v>
      </c>
      <c r="B79" s="1">
        <v>45388</v>
      </c>
      <c r="C79" t="s">
        <v>33</v>
      </c>
      <c r="D79" s="9" t="s">
        <v>14</v>
      </c>
      <c r="E79" s="2">
        <v>45531</v>
      </c>
      <c r="F79" t="b">
        <v>0</v>
      </c>
      <c r="G79" t="s">
        <v>90</v>
      </c>
      <c r="H79">
        <v>147</v>
      </c>
      <c r="I79">
        <v>3</v>
      </c>
      <c r="J79">
        <v>1</v>
      </c>
      <c r="K79">
        <v>569</v>
      </c>
      <c r="L79">
        <v>1</v>
      </c>
    </row>
    <row r="80" spans="1:12">
      <c r="A80" t="s">
        <v>104</v>
      </c>
      <c r="B80" s="1">
        <v>45388</v>
      </c>
      <c r="C80" t="s">
        <v>30</v>
      </c>
      <c r="D80" s="9" t="s">
        <v>20</v>
      </c>
      <c r="E80" s="2">
        <v>45509</v>
      </c>
      <c r="F80" t="b">
        <v>1</v>
      </c>
      <c r="G80" t="s">
        <v>90</v>
      </c>
      <c r="H80">
        <v>147</v>
      </c>
      <c r="I80">
        <v>26</v>
      </c>
      <c r="J80">
        <v>3</v>
      </c>
      <c r="K80">
        <v>569</v>
      </c>
      <c r="L80">
        <v>1</v>
      </c>
    </row>
    <row r="81" spans="1:12">
      <c r="A81" t="s">
        <v>105</v>
      </c>
      <c r="B81" s="1">
        <v>45388</v>
      </c>
      <c r="C81" t="s">
        <v>13</v>
      </c>
      <c r="D81" s="9" t="s">
        <v>26</v>
      </c>
      <c r="E81" s="2">
        <v>45531</v>
      </c>
      <c r="F81" t="b">
        <v>0</v>
      </c>
      <c r="G81" t="s">
        <v>90</v>
      </c>
      <c r="H81">
        <v>147</v>
      </c>
      <c r="I81">
        <v>12</v>
      </c>
      <c r="J81">
        <v>5</v>
      </c>
      <c r="K81">
        <v>569</v>
      </c>
      <c r="L81">
        <v>1</v>
      </c>
    </row>
    <row r="82" spans="1:12">
      <c r="A82" t="s">
        <v>106</v>
      </c>
      <c r="B82" s="1">
        <v>45389</v>
      </c>
      <c r="C82" t="s">
        <v>33</v>
      </c>
      <c r="D82" s="9" t="s">
        <v>26</v>
      </c>
      <c r="E82" s="2">
        <v>45532</v>
      </c>
      <c r="F82" t="b">
        <v>1</v>
      </c>
      <c r="G82" t="s">
        <v>90</v>
      </c>
      <c r="H82">
        <v>146</v>
      </c>
      <c r="I82">
        <v>3</v>
      </c>
      <c r="J82">
        <v>2</v>
      </c>
      <c r="K82">
        <v>568</v>
      </c>
      <c r="L82">
        <v>1</v>
      </c>
    </row>
    <row r="83" spans="1:12">
      <c r="A83" t="s">
        <v>107</v>
      </c>
      <c r="B83" s="1">
        <v>45389</v>
      </c>
      <c r="C83" t="s">
        <v>19</v>
      </c>
      <c r="D83" s="9" t="s">
        <v>26</v>
      </c>
      <c r="E83" s="2">
        <v>45513</v>
      </c>
      <c r="F83" t="b">
        <v>1</v>
      </c>
      <c r="G83" t="s">
        <v>90</v>
      </c>
      <c r="H83">
        <v>146</v>
      </c>
      <c r="I83">
        <v>22</v>
      </c>
      <c r="J83">
        <v>2</v>
      </c>
      <c r="K83">
        <v>568</v>
      </c>
      <c r="L83">
        <v>1</v>
      </c>
    </row>
    <row r="84" spans="1:12">
      <c r="A84" t="s">
        <v>108</v>
      </c>
      <c r="B84" s="1">
        <v>45390</v>
      </c>
      <c r="C84" t="s">
        <v>13</v>
      </c>
      <c r="D84" s="9" t="s">
        <v>20</v>
      </c>
      <c r="E84" s="2">
        <v>45522</v>
      </c>
      <c r="F84" t="b">
        <v>0</v>
      </c>
      <c r="G84" t="s">
        <v>90</v>
      </c>
      <c r="H84">
        <v>145</v>
      </c>
      <c r="I84">
        <v>28</v>
      </c>
      <c r="J84">
        <v>6</v>
      </c>
      <c r="K84">
        <v>567</v>
      </c>
      <c r="L84">
        <v>1</v>
      </c>
    </row>
    <row r="85" spans="1:12">
      <c r="A85" t="s">
        <v>109</v>
      </c>
      <c r="B85" s="1">
        <v>45390</v>
      </c>
      <c r="C85" t="s">
        <v>13</v>
      </c>
      <c r="D85" s="9" t="s">
        <v>14</v>
      </c>
      <c r="E85" s="2">
        <v>45510</v>
      </c>
      <c r="F85" t="b">
        <v>1</v>
      </c>
      <c r="G85" t="s">
        <v>90</v>
      </c>
      <c r="H85">
        <v>145</v>
      </c>
      <c r="I85">
        <v>25</v>
      </c>
      <c r="J85">
        <v>1</v>
      </c>
      <c r="K85">
        <v>567</v>
      </c>
      <c r="L85">
        <v>1</v>
      </c>
    </row>
    <row r="86" spans="1:12">
      <c r="A86" t="s">
        <v>110</v>
      </c>
      <c r="B86" s="1">
        <v>45390</v>
      </c>
      <c r="C86" t="s">
        <v>13</v>
      </c>
      <c r="D86" s="9" t="s">
        <v>20</v>
      </c>
      <c r="E86" s="2">
        <v>45516</v>
      </c>
      <c r="F86" t="b">
        <v>1</v>
      </c>
      <c r="G86" t="s">
        <v>90</v>
      </c>
      <c r="H86">
        <v>145</v>
      </c>
      <c r="I86">
        <v>19</v>
      </c>
      <c r="J86">
        <v>7</v>
      </c>
      <c r="K86">
        <v>567</v>
      </c>
      <c r="L86">
        <v>1</v>
      </c>
    </row>
    <row r="87" spans="1:12">
      <c r="A87" t="s">
        <v>111</v>
      </c>
      <c r="B87" s="1">
        <v>45391</v>
      </c>
      <c r="C87" t="s">
        <v>22</v>
      </c>
      <c r="D87" s="9" t="s">
        <v>26</v>
      </c>
      <c r="E87" s="2">
        <v>45549</v>
      </c>
      <c r="F87" t="b">
        <v>1</v>
      </c>
      <c r="G87" t="s">
        <v>90</v>
      </c>
      <c r="H87">
        <v>144</v>
      </c>
      <c r="I87">
        <v>23</v>
      </c>
      <c r="J87">
        <v>4</v>
      </c>
      <c r="K87">
        <v>566</v>
      </c>
      <c r="L87">
        <v>1</v>
      </c>
    </row>
    <row r="88" spans="1:12">
      <c r="A88" t="s">
        <v>112</v>
      </c>
      <c r="B88" s="1">
        <v>45391</v>
      </c>
      <c r="C88" t="s">
        <v>37</v>
      </c>
      <c r="D88" s="9" t="s">
        <v>17</v>
      </c>
      <c r="E88" s="2">
        <v>45560</v>
      </c>
      <c r="F88" t="b">
        <v>1</v>
      </c>
      <c r="G88" t="s">
        <v>90</v>
      </c>
      <c r="H88">
        <v>144</v>
      </c>
      <c r="I88">
        <v>4</v>
      </c>
      <c r="J88">
        <v>6</v>
      </c>
      <c r="K88">
        <v>566</v>
      </c>
      <c r="L88">
        <v>1</v>
      </c>
    </row>
    <row r="89" spans="1:12">
      <c r="A89" t="s">
        <v>113</v>
      </c>
      <c r="B89" s="1">
        <v>45391</v>
      </c>
      <c r="C89" t="s">
        <v>13</v>
      </c>
      <c r="D89" s="9" t="s">
        <v>14</v>
      </c>
      <c r="E89" s="2">
        <v>45564</v>
      </c>
      <c r="F89" t="b">
        <v>1</v>
      </c>
      <c r="G89" t="s">
        <v>90</v>
      </c>
      <c r="H89">
        <v>144</v>
      </c>
      <c r="I89">
        <v>20</v>
      </c>
      <c r="J89">
        <v>1</v>
      </c>
      <c r="K89">
        <v>566</v>
      </c>
      <c r="L89">
        <v>1</v>
      </c>
    </row>
    <row r="90" spans="1:12">
      <c r="A90" t="s">
        <v>114</v>
      </c>
      <c r="B90" s="1">
        <v>45391</v>
      </c>
      <c r="C90" t="s">
        <v>19</v>
      </c>
      <c r="D90" s="9" t="s">
        <v>14</v>
      </c>
      <c r="E90" s="2">
        <v>45564</v>
      </c>
      <c r="F90" t="b">
        <v>0</v>
      </c>
      <c r="G90" t="s">
        <v>90</v>
      </c>
      <c r="H90">
        <v>144</v>
      </c>
      <c r="I90">
        <v>13</v>
      </c>
      <c r="J90">
        <v>2</v>
      </c>
      <c r="K90">
        <v>566</v>
      </c>
      <c r="L90">
        <v>1</v>
      </c>
    </row>
    <row r="91" spans="1:12">
      <c r="A91" t="s">
        <v>115</v>
      </c>
      <c r="B91" s="1">
        <v>45391</v>
      </c>
      <c r="C91" t="s">
        <v>13</v>
      </c>
      <c r="D91" s="9" t="s">
        <v>17</v>
      </c>
      <c r="E91" s="2">
        <v>45544</v>
      </c>
      <c r="F91" t="b">
        <v>1</v>
      </c>
      <c r="G91" t="s">
        <v>90</v>
      </c>
      <c r="H91">
        <v>144</v>
      </c>
      <c r="I91">
        <v>16</v>
      </c>
      <c r="J91">
        <v>12</v>
      </c>
      <c r="K91">
        <v>566</v>
      </c>
      <c r="L91">
        <v>0</v>
      </c>
    </row>
    <row r="92" spans="1:12">
      <c r="A92" t="s">
        <v>116</v>
      </c>
      <c r="B92" s="1">
        <v>45392</v>
      </c>
      <c r="C92" t="s">
        <v>24</v>
      </c>
      <c r="D92" s="9" t="s">
        <v>26</v>
      </c>
      <c r="E92" s="2">
        <v>45580</v>
      </c>
      <c r="F92" t="b">
        <v>1</v>
      </c>
      <c r="G92" t="s">
        <v>90</v>
      </c>
      <c r="H92">
        <v>143</v>
      </c>
      <c r="I92">
        <v>13</v>
      </c>
      <c r="J92">
        <v>5</v>
      </c>
      <c r="K92">
        <v>565</v>
      </c>
      <c r="L92">
        <v>1</v>
      </c>
    </row>
    <row r="93" spans="1:12">
      <c r="A93" t="s">
        <v>117</v>
      </c>
      <c r="B93" s="1">
        <v>45392</v>
      </c>
      <c r="C93" t="s">
        <v>30</v>
      </c>
      <c r="D93" s="9" t="s">
        <v>14</v>
      </c>
      <c r="E93" s="2">
        <v>45571</v>
      </c>
      <c r="F93" t="b">
        <v>0</v>
      </c>
      <c r="G93" t="s">
        <v>90</v>
      </c>
      <c r="H93">
        <v>143</v>
      </c>
      <c r="I93">
        <v>18</v>
      </c>
      <c r="J93">
        <v>1</v>
      </c>
      <c r="K93">
        <v>565</v>
      </c>
      <c r="L93">
        <v>1</v>
      </c>
    </row>
    <row r="94" spans="1:12">
      <c r="A94" t="s">
        <v>118</v>
      </c>
      <c r="B94" s="1">
        <v>45392</v>
      </c>
      <c r="C94" t="s">
        <v>22</v>
      </c>
      <c r="D94" s="9" t="s">
        <v>26</v>
      </c>
      <c r="E94" s="2">
        <v>45578</v>
      </c>
      <c r="F94" t="b">
        <v>0</v>
      </c>
      <c r="G94" t="s">
        <v>90</v>
      </c>
      <c r="H94">
        <v>143</v>
      </c>
      <c r="I94">
        <v>8</v>
      </c>
      <c r="J94">
        <v>4</v>
      </c>
      <c r="K94">
        <v>565</v>
      </c>
      <c r="L94">
        <v>1</v>
      </c>
    </row>
    <row r="95" spans="1:12">
      <c r="A95" t="s">
        <v>119</v>
      </c>
      <c r="B95" s="1">
        <v>45392</v>
      </c>
      <c r="C95" t="s">
        <v>24</v>
      </c>
      <c r="D95" s="9" t="s">
        <v>26</v>
      </c>
      <c r="E95" s="2">
        <v>45598</v>
      </c>
      <c r="F95" t="b">
        <v>1</v>
      </c>
      <c r="G95" t="s">
        <v>90</v>
      </c>
      <c r="H95">
        <v>143</v>
      </c>
      <c r="I95">
        <v>4</v>
      </c>
      <c r="J95">
        <v>1</v>
      </c>
      <c r="K95">
        <v>565</v>
      </c>
      <c r="L95">
        <v>1</v>
      </c>
    </row>
    <row r="96" spans="1:12">
      <c r="A96" t="s">
        <v>120</v>
      </c>
      <c r="B96" s="1">
        <v>45393</v>
      </c>
      <c r="C96" t="s">
        <v>51</v>
      </c>
      <c r="D96" s="9" t="s">
        <v>26</v>
      </c>
      <c r="E96" s="2">
        <v>45613</v>
      </c>
      <c r="F96" t="b">
        <v>0</v>
      </c>
      <c r="G96" t="s">
        <v>90</v>
      </c>
      <c r="H96">
        <v>142</v>
      </c>
      <c r="I96">
        <v>15</v>
      </c>
      <c r="J96">
        <v>2</v>
      </c>
      <c r="K96">
        <v>564</v>
      </c>
      <c r="L96">
        <v>1</v>
      </c>
    </row>
    <row r="97" spans="1:12">
      <c r="A97" t="s">
        <v>121</v>
      </c>
      <c r="B97" s="1">
        <v>45393</v>
      </c>
      <c r="C97" t="s">
        <v>30</v>
      </c>
      <c r="D97" s="9" t="s">
        <v>14</v>
      </c>
      <c r="E97" s="2">
        <v>45601</v>
      </c>
      <c r="F97" t="b">
        <v>0</v>
      </c>
      <c r="G97" t="s">
        <v>90</v>
      </c>
      <c r="H97">
        <v>142</v>
      </c>
      <c r="I97">
        <v>6</v>
      </c>
      <c r="J97">
        <v>0</v>
      </c>
      <c r="K97">
        <v>564</v>
      </c>
      <c r="L97">
        <v>1</v>
      </c>
    </row>
    <row r="98" spans="1:12">
      <c r="A98" t="s">
        <v>122</v>
      </c>
      <c r="B98" s="1">
        <v>45393</v>
      </c>
      <c r="C98" t="s">
        <v>13</v>
      </c>
      <c r="D98" s="9" t="s">
        <v>17</v>
      </c>
      <c r="E98" s="2">
        <v>45602</v>
      </c>
      <c r="F98" t="b">
        <v>0</v>
      </c>
      <c r="G98" t="s">
        <v>90</v>
      </c>
      <c r="H98">
        <v>142</v>
      </c>
      <c r="I98">
        <v>18</v>
      </c>
      <c r="J98">
        <v>15</v>
      </c>
      <c r="K98">
        <v>564</v>
      </c>
      <c r="L98">
        <v>0</v>
      </c>
    </row>
    <row r="99" spans="1:12">
      <c r="A99" t="s">
        <v>123</v>
      </c>
      <c r="B99" s="1">
        <v>45394</v>
      </c>
      <c r="C99" t="s">
        <v>37</v>
      </c>
      <c r="D99" s="9" t="s">
        <v>26</v>
      </c>
      <c r="E99" s="2">
        <v>45635</v>
      </c>
      <c r="F99" t="b">
        <v>0</v>
      </c>
      <c r="G99" t="s">
        <v>90</v>
      </c>
      <c r="H99">
        <v>141</v>
      </c>
      <c r="I99">
        <v>9</v>
      </c>
      <c r="J99">
        <v>6</v>
      </c>
      <c r="K99">
        <v>563</v>
      </c>
      <c r="L99">
        <v>1</v>
      </c>
    </row>
    <row r="100" spans="1:12">
      <c r="A100" t="s">
        <v>124</v>
      </c>
      <c r="B100" s="1">
        <v>45394</v>
      </c>
      <c r="C100" t="s">
        <v>19</v>
      </c>
      <c r="D100" s="9" t="s">
        <v>14</v>
      </c>
      <c r="E100" s="2">
        <v>45654</v>
      </c>
      <c r="F100" t="b">
        <v>0</v>
      </c>
      <c r="G100" t="s">
        <v>90</v>
      </c>
      <c r="H100">
        <v>141</v>
      </c>
      <c r="I100">
        <v>24</v>
      </c>
      <c r="J100">
        <v>2</v>
      </c>
      <c r="K100">
        <v>563</v>
      </c>
      <c r="L100">
        <v>1</v>
      </c>
    </row>
    <row r="101" spans="1:12">
      <c r="A101" t="s">
        <v>125</v>
      </c>
      <c r="B101" s="1">
        <v>45394</v>
      </c>
      <c r="C101" t="s">
        <v>33</v>
      </c>
      <c r="D101" s="9" t="s">
        <v>17</v>
      </c>
      <c r="E101" s="2">
        <v>45643</v>
      </c>
      <c r="F101" t="b">
        <v>1</v>
      </c>
      <c r="G101" t="s">
        <v>90</v>
      </c>
      <c r="H101">
        <v>141</v>
      </c>
      <c r="I101">
        <v>16</v>
      </c>
      <c r="J101">
        <v>14</v>
      </c>
      <c r="K101">
        <v>563</v>
      </c>
      <c r="L101">
        <v>0</v>
      </c>
    </row>
    <row r="102" spans="1:12">
      <c r="A102" t="s">
        <v>126</v>
      </c>
      <c r="B102" s="1">
        <v>45394</v>
      </c>
      <c r="C102" t="s">
        <v>13</v>
      </c>
      <c r="D102" s="9" t="s">
        <v>14</v>
      </c>
      <c r="E102" s="2">
        <v>45656</v>
      </c>
      <c r="F102" t="b">
        <v>1</v>
      </c>
      <c r="G102" t="s">
        <v>90</v>
      </c>
      <c r="H102">
        <v>141</v>
      </c>
      <c r="I102">
        <v>19</v>
      </c>
      <c r="J102">
        <v>1</v>
      </c>
      <c r="K102">
        <v>563</v>
      </c>
      <c r="L102">
        <v>1</v>
      </c>
    </row>
    <row r="103" spans="1:12">
      <c r="A103" t="s">
        <v>127</v>
      </c>
      <c r="B103" s="1">
        <v>45634.709722222222</v>
      </c>
      <c r="C103" t="s">
        <v>37</v>
      </c>
      <c r="D103" s="9" t="s">
        <v>17</v>
      </c>
      <c r="E103" s="2">
        <v>45510</v>
      </c>
      <c r="F103" t="b">
        <v>1</v>
      </c>
      <c r="G103" t="s">
        <v>90</v>
      </c>
      <c r="H103">
        <v>140</v>
      </c>
      <c r="I103">
        <v>25</v>
      </c>
      <c r="J103">
        <v>7</v>
      </c>
      <c r="K103">
        <v>576</v>
      </c>
      <c r="L103">
        <v>2</v>
      </c>
    </row>
    <row r="104" spans="1:12">
      <c r="A104" t="s">
        <v>128</v>
      </c>
      <c r="B104" s="1">
        <v>45607</v>
      </c>
      <c r="C104" t="s">
        <v>30</v>
      </c>
      <c r="D104" s="9" t="s">
        <v>26</v>
      </c>
      <c r="E104" s="2">
        <v>45523</v>
      </c>
      <c r="F104" t="b">
        <v>0</v>
      </c>
      <c r="G104" t="s">
        <v>90</v>
      </c>
      <c r="H104">
        <v>140</v>
      </c>
      <c r="I104">
        <v>6</v>
      </c>
      <c r="J104">
        <v>5</v>
      </c>
      <c r="K104">
        <v>350</v>
      </c>
      <c r="L104">
        <v>1</v>
      </c>
    </row>
    <row r="105" spans="1:12">
      <c r="A105" t="s">
        <v>129</v>
      </c>
      <c r="B105" s="1">
        <v>45632.381249999999</v>
      </c>
      <c r="C105" t="s">
        <v>19</v>
      </c>
      <c r="D105" s="9" t="s">
        <v>26</v>
      </c>
      <c r="E105" s="2">
        <v>45514</v>
      </c>
      <c r="F105" t="b">
        <v>1</v>
      </c>
      <c r="G105" t="s">
        <v>90</v>
      </c>
      <c r="H105">
        <v>140</v>
      </c>
      <c r="I105">
        <v>21</v>
      </c>
      <c r="J105">
        <v>3</v>
      </c>
      <c r="K105">
        <v>486</v>
      </c>
      <c r="L105">
        <v>2</v>
      </c>
    </row>
    <row r="106" spans="1:12">
      <c r="A106" t="s">
        <v>130</v>
      </c>
      <c r="B106" s="1">
        <v>45294</v>
      </c>
      <c r="C106" t="s">
        <v>30</v>
      </c>
      <c r="D106" s="9" t="s">
        <v>20</v>
      </c>
      <c r="E106" s="2">
        <v>45519</v>
      </c>
      <c r="F106" t="b">
        <v>1</v>
      </c>
      <c r="G106" t="s">
        <v>90</v>
      </c>
      <c r="H106">
        <v>139</v>
      </c>
      <c r="I106">
        <v>16</v>
      </c>
      <c r="J106">
        <v>1</v>
      </c>
      <c r="K106">
        <v>663</v>
      </c>
      <c r="L106">
        <v>1</v>
      </c>
    </row>
    <row r="107" spans="1:12">
      <c r="A107" t="s">
        <v>131</v>
      </c>
      <c r="B107" s="1">
        <v>45330</v>
      </c>
      <c r="C107" t="s">
        <v>13</v>
      </c>
      <c r="D107" s="9" t="s">
        <v>14</v>
      </c>
      <c r="E107" s="2">
        <v>45519</v>
      </c>
      <c r="F107" t="b">
        <v>0</v>
      </c>
      <c r="G107" t="s">
        <v>90</v>
      </c>
      <c r="H107">
        <v>139</v>
      </c>
      <c r="I107">
        <v>3</v>
      </c>
      <c r="J107">
        <v>3</v>
      </c>
      <c r="K107">
        <v>627</v>
      </c>
      <c r="L107">
        <v>1</v>
      </c>
    </row>
    <row r="108" spans="1:12">
      <c r="A108" t="s">
        <v>132</v>
      </c>
      <c r="B108" s="1">
        <v>45416</v>
      </c>
      <c r="C108" t="s">
        <v>37</v>
      </c>
      <c r="D108" s="9" t="s">
        <v>26</v>
      </c>
      <c r="E108" s="2">
        <v>45520</v>
      </c>
      <c r="F108" t="b">
        <v>1</v>
      </c>
      <c r="G108" t="s">
        <v>90</v>
      </c>
      <c r="H108">
        <v>139</v>
      </c>
      <c r="I108">
        <v>15</v>
      </c>
      <c r="J108">
        <v>1</v>
      </c>
      <c r="K108">
        <v>541</v>
      </c>
      <c r="L108">
        <v>1</v>
      </c>
    </row>
    <row r="109" spans="1:12">
      <c r="A109" t="s">
        <v>133</v>
      </c>
      <c r="B109" s="1">
        <v>45445.854861111111</v>
      </c>
      <c r="C109" t="s">
        <v>30</v>
      </c>
      <c r="D109" s="9" t="s">
        <v>26</v>
      </c>
      <c r="E109" s="2">
        <v>45517</v>
      </c>
      <c r="F109" t="b">
        <v>0</v>
      </c>
      <c r="G109" t="s">
        <v>90</v>
      </c>
      <c r="H109">
        <v>138</v>
      </c>
      <c r="I109">
        <v>21</v>
      </c>
      <c r="J109">
        <v>4</v>
      </c>
      <c r="K109">
        <v>356</v>
      </c>
      <c r="L109">
        <v>2</v>
      </c>
    </row>
    <row r="110" spans="1:12">
      <c r="A110" t="s">
        <v>134</v>
      </c>
      <c r="B110" s="1">
        <v>45522.009722222225</v>
      </c>
      <c r="C110" t="s">
        <v>33</v>
      </c>
      <c r="D110" s="9" t="s">
        <v>26</v>
      </c>
      <c r="E110" s="2">
        <v>45530</v>
      </c>
      <c r="F110" t="b">
        <v>1</v>
      </c>
      <c r="G110" t="s">
        <v>90</v>
      </c>
      <c r="H110">
        <v>138</v>
      </c>
      <c r="I110">
        <v>5</v>
      </c>
      <c r="J110">
        <v>5</v>
      </c>
      <c r="K110">
        <v>354</v>
      </c>
      <c r="L110">
        <v>2</v>
      </c>
    </row>
    <row r="111" spans="1:12">
      <c r="A111" t="s">
        <v>135</v>
      </c>
      <c r="B111" s="1">
        <v>45328</v>
      </c>
      <c r="C111" t="s">
        <v>13</v>
      </c>
      <c r="D111" s="9" t="s">
        <v>26</v>
      </c>
      <c r="E111" s="2">
        <v>45517</v>
      </c>
      <c r="F111" t="b">
        <v>1</v>
      </c>
      <c r="G111" t="s">
        <v>90</v>
      </c>
      <c r="H111">
        <v>138</v>
      </c>
      <c r="I111">
        <v>18</v>
      </c>
      <c r="J111">
        <v>2</v>
      </c>
      <c r="K111">
        <v>629</v>
      </c>
      <c r="L111">
        <v>1</v>
      </c>
    </row>
    <row r="112" spans="1:12">
      <c r="A112" t="s">
        <v>136</v>
      </c>
      <c r="B112" s="1">
        <v>45357</v>
      </c>
      <c r="C112" t="s">
        <v>51</v>
      </c>
      <c r="D112" s="9" t="s">
        <v>26</v>
      </c>
      <c r="E112" s="2">
        <v>45521</v>
      </c>
      <c r="F112" t="b">
        <v>1</v>
      </c>
      <c r="G112" t="s">
        <v>90</v>
      </c>
      <c r="H112">
        <v>138</v>
      </c>
      <c r="I112">
        <v>14</v>
      </c>
      <c r="J112">
        <v>1</v>
      </c>
      <c r="K112">
        <v>600</v>
      </c>
      <c r="L112">
        <v>1</v>
      </c>
    </row>
    <row r="113" spans="1:12">
      <c r="A113" t="s">
        <v>137</v>
      </c>
      <c r="B113" s="1">
        <v>45331</v>
      </c>
      <c r="C113" t="s">
        <v>33</v>
      </c>
      <c r="D113" s="9" t="s">
        <v>26</v>
      </c>
      <c r="E113" s="2">
        <v>45529</v>
      </c>
      <c r="F113" t="b">
        <v>1</v>
      </c>
      <c r="G113" t="s">
        <v>90</v>
      </c>
      <c r="H113">
        <v>137</v>
      </c>
      <c r="I113">
        <v>6</v>
      </c>
      <c r="J113">
        <v>4</v>
      </c>
      <c r="K113">
        <v>626</v>
      </c>
      <c r="L113">
        <v>1</v>
      </c>
    </row>
    <row r="114" spans="1:12">
      <c r="A114" t="s">
        <v>138</v>
      </c>
      <c r="B114" s="1">
        <v>45454</v>
      </c>
      <c r="C114" t="s">
        <v>19</v>
      </c>
      <c r="D114" s="9" t="s">
        <v>26</v>
      </c>
      <c r="E114" s="2">
        <v>45533</v>
      </c>
      <c r="F114" t="b">
        <v>0</v>
      </c>
      <c r="G114" t="s">
        <v>90</v>
      </c>
      <c r="H114">
        <v>137</v>
      </c>
      <c r="I114">
        <v>25</v>
      </c>
      <c r="J114">
        <v>7</v>
      </c>
      <c r="K114">
        <v>503</v>
      </c>
      <c r="L114">
        <v>1</v>
      </c>
    </row>
    <row r="115" spans="1:12">
      <c r="A115" t="s">
        <v>139</v>
      </c>
      <c r="B115" s="1">
        <v>45296.704861111109</v>
      </c>
      <c r="C115" t="s">
        <v>51</v>
      </c>
      <c r="D115" s="9" t="s">
        <v>26</v>
      </c>
      <c r="E115" s="2">
        <v>45533</v>
      </c>
      <c r="F115" t="b">
        <v>1</v>
      </c>
      <c r="G115" t="s">
        <v>90</v>
      </c>
      <c r="H115">
        <v>137</v>
      </c>
      <c r="I115">
        <v>2</v>
      </c>
      <c r="J115">
        <v>11</v>
      </c>
      <c r="K115">
        <v>436</v>
      </c>
      <c r="L115">
        <v>0</v>
      </c>
    </row>
    <row r="116" spans="1:12">
      <c r="A116" t="s">
        <v>140</v>
      </c>
      <c r="B116" s="1">
        <v>45393</v>
      </c>
      <c r="C116" t="s">
        <v>37</v>
      </c>
      <c r="D116" s="9" t="s">
        <v>26</v>
      </c>
      <c r="E116" s="2">
        <v>45521</v>
      </c>
      <c r="F116" t="b">
        <v>1</v>
      </c>
      <c r="G116" t="s">
        <v>90</v>
      </c>
      <c r="H116">
        <v>136</v>
      </c>
      <c r="I116">
        <v>14</v>
      </c>
      <c r="J116">
        <v>3</v>
      </c>
      <c r="K116">
        <v>564</v>
      </c>
      <c r="L116">
        <v>1</v>
      </c>
    </row>
    <row r="117" spans="1:12">
      <c r="A117" t="s">
        <v>141</v>
      </c>
      <c r="B117" s="1">
        <v>45504.986805555556</v>
      </c>
      <c r="C117" t="s">
        <v>22</v>
      </c>
      <c r="D117" s="9" t="s">
        <v>14</v>
      </c>
      <c r="E117" s="2">
        <v>45508</v>
      </c>
      <c r="F117" t="b">
        <v>0</v>
      </c>
      <c r="G117" t="s">
        <v>90</v>
      </c>
      <c r="H117">
        <v>136</v>
      </c>
      <c r="I117">
        <v>4</v>
      </c>
      <c r="J117">
        <v>2</v>
      </c>
      <c r="K117">
        <v>583</v>
      </c>
      <c r="L117">
        <v>2</v>
      </c>
    </row>
    <row r="118" spans="1:12">
      <c r="A118" t="s">
        <v>142</v>
      </c>
      <c r="B118" s="1">
        <v>45552.65625</v>
      </c>
      <c r="C118" t="s">
        <v>37</v>
      </c>
      <c r="D118" s="9" t="s">
        <v>17</v>
      </c>
      <c r="E118" s="2">
        <v>45515</v>
      </c>
      <c r="F118" t="b">
        <v>1</v>
      </c>
      <c r="G118" t="s">
        <v>90</v>
      </c>
      <c r="H118">
        <v>135</v>
      </c>
      <c r="I118">
        <v>20</v>
      </c>
      <c r="J118">
        <v>14</v>
      </c>
      <c r="K118">
        <v>505</v>
      </c>
      <c r="L118">
        <v>0</v>
      </c>
    </row>
    <row r="119" spans="1:12">
      <c r="A119" t="s">
        <v>143</v>
      </c>
      <c r="B119" s="1">
        <v>45483</v>
      </c>
      <c r="C119" t="s">
        <v>13</v>
      </c>
      <c r="D119" s="9" t="s">
        <v>14</v>
      </c>
      <c r="E119" s="2">
        <v>45521</v>
      </c>
      <c r="F119" t="b">
        <v>1</v>
      </c>
      <c r="G119" t="s">
        <v>90</v>
      </c>
      <c r="H119">
        <v>135</v>
      </c>
      <c r="I119">
        <v>14</v>
      </c>
      <c r="J119">
        <v>1</v>
      </c>
      <c r="K119">
        <v>474</v>
      </c>
      <c r="L119">
        <v>1</v>
      </c>
    </row>
    <row r="120" spans="1:12">
      <c r="A120" t="s">
        <v>144</v>
      </c>
      <c r="B120" s="1">
        <v>45474.073611111111</v>
      </c>
      <c r="C120" t="s">
        <v>37</v>
      </c>
      <c r="D120" s="9" t="s">
        <v>26</v>
      </c>
      <c r="E120" s="2">
        <v>45517</v>
      </c>
      <c r="F120" t="b">
        <v>0</v>
      </c>
      <c r="G120" t="s">
        <v>90</v>
      </c>
      <c r="H120">
        <v>134</v>
      </c>
      <c r="I120">
        <v>20</v>
      </c>
      <c r="J120">
        <v>4</v>
      </c>
      <c r="K120">
        <v>564</v>
      </c>
      <c r="L120">
        <v>2</v>
      </c>
    </row>
    <row r="121" spans="1:12">
      <c r="A121" t="s">
        <v>145</v>
      </c>
      <c r="B121" s="1">
        <v>45331</v>
      </c>
      <c r="C121" t="s">
        <v>13</v>
      </c>
      <c r="D121" s="9" t="s">
        <v>26</v>
      </c>
      <c r="E121" s="2">
        <v>45526</v>
      </c>
      <c r="F121" t="b">
        <v>0</v>
      </c>
      <c r="G121" t="s">
        <v>90</v>
      </c>
      <c r="H121">
        <v>134</v>
      </c>
      <c r="I121">
        <v>22</v>
      </c>
      <c r="J121">
        <v>1</v>
      </c>
      <c r="K121">
        <v>626</v>
      </c>
      <c r="L121">
        <v>1</v>
      </c>
    </row>
    <row r="122" spans="1:12">
      <c r="A122" t="s">
        <v>146</v>
      </c>
      <c r="B122" s="1">
        <v>45630</v>
      </c>
      <c r="C122" t="s">
        <v>30</v>
      </c>
      <c r="D122" s="9" t="s">
        <v>20</v>
      </c>
      <c r="E122" s="2">
        <v>45523</v>
      </c>
      <c r="F122" t="b">
        <v>1</v>
      </c>
      <c r="G122" t="s">
        <v>90</v>
      </c>
      <c r="H122">
        <v>134</v>
      </c>
      <c r="I122">
        <v>12</v>
      </c>
      <c r="J122">
        <v>4</v>
      </c>
      <c r="K122">
        <v>327</v>
      </c>
      <c r="L122">
        <v>1</v>
      </c>
    </row>
    <row r="123" spans="1:12">
      <c r="A123" t="s">
        <v>147</v>
      </c>
      <c r="B123" s="1">
        <v>45356.013194444444</v>
      </c>
      <c r="C123" t="s">
        <v>19</v>
      </c>
      <c r="D123" s="9" t="s">
        <v>14</v>
      </c>
      <c r="E123" s="2">
        <v>45531</v>
      </c>
      <c r="F123" t="b">
        <v>1</v>
      </c>
      <c r="G123" t="s">
        <v>90</v>
      </c>
      <c r="H123">
        <v>133</v>
      </c>
      <c r="I123">
        <v>4</v>
      </c>
      <c r="J123">
        <v>1</v>
      </c>
      <c r="K123">
        <v>454</v>
      </c>
      <c r="L123">
        <v>2</v>
      </c>
    </row>
    <row r="124" spans="1:12">
      <c r="A124" t="s">
        <v>148</v>
      </c>
      <c r="B124" s="1">
        <v>45405.463888888888</v>
      </c>
      <c r="C124" t="s">
        <v>13</v>
      </c>
      <c r="D124" s="9" t="s">
        <v>14</v>
      </c>
      <c r="E124" s="2">
        <v>45533</v>
      </c>
      <c r="F124" t="b">
        <v>0</v>
      </c>
      <c r="G124" t="s">
        <v>90</v>
      </c>
      <c r="H124">
        <v>133</v>
      </c>
      <c r="I124">
        <v>27</v>
      </c>
      <c r="J124">
        <v>5</v>
      </c>
      <c r="K124">
        <v>516</v>
      </c>
      <c r="L124">
        <v>2</v>
      </c>
    </row>
    <row r="125" spans="1:12">
      <c r="A125" t="s">
        <v>149</v>
      </c>
      <c r="B125" s="1">
        <v>45478</v>
      </c>
      <c r="C125" t="s">
        <v>37</v>
      </c>
      <c r="D125" s="9" t="s">
        <v>20</v>
      </c>
      <c r="E125" s="2">
        <v>45533</v>
      </c>
      <c r="F125" t="b">
        <v>1</v>
      </c>
      <c r="G125" t="s">
        <v>90</v>
      </c>
      <c r="H125">
        <v>133</v>
      </c>
      <c r="I125">
        <v>2</v>
      </c>
      <c r="J125">
        <v>1</v>
      </c>
      <c r="K125">
        <v>479</v>
      </c>
      <c r="L125">
        <v>1</v>
      </c>
    </row>
    <row r="126" spans="1:12">
      <c r="A126" t="s">
        <v>150</v>
      </c>
      <c r="B126" s="1">
        <v>45602.877083333333</v>
      </c>
      <c r="C126" t="s">
        <v>13</v>
      </c>
      <c r="D126" s="9" t="s">
        <v>26</v>
      </c>
      <c r="E126" s="2">
        <v>45533</v>
      </c>
      <c r="F126" t="b">
        <v>1</v>
      </c>
      <c r="G126" t="s">
        <v>90</v>
      </c>
      <c r="H126">
        <v>133</v>
      </c>
      <c r="I126">
        <v>2</v>
      </c>
      <c r="J126">
        <v>9</v>
      </c>
      <c r="K126">
        <v>591</v>
      </c>
      <c r="L126">
        <v>0</v>
      </c>
    </row>
    <row r="127" spans="1:12">
      <c r="A127" t="s">
        <v>151</v>
      </c>
      <c r="B127" s="1">
        <v>45305.405555555553</v>
      </c>
      <c r="C127" t="s">
        <v>24</v>
      </c>
      <c r="D127" s="9" t="s">
        <v>26</v>
      </c>
      <c r="E127" s="2">
        <v>45513</v>
      </c>
      <c r="F127" t="b">
        <v>0</v>
      </c>
      <c r="G127" t="s">
        <v>90</v>
      </c>
      <c r="H127">
        <v>133</v>
      </c>
      <c r="I127">
        <v>18</v>
      </c>
      <c r="J127">
        <v>7</v>
      </c>
      <c r="K127">
        <v>632</v>
      </c>
      <c r="L127">
        <v>2</v>
      </c>
    </row>
    <row r="128" spans="1:12">
      <c r="A128" t="s">
        <v>152</v>
      </c>
      <c r="B128" s="1">
        <v>45630.589583333334</v>
      </c>
      <c r="C128" t="s">
        <v>13</v>
      </c>
      <c r="D128" s="9" t="s">
        <v>14</v>
      </c>
      <c r="E128" s="2">
        <v>45534</v>
      </c>
      <c r="F128" t="b">
        <v>1</v>
      </c>
      <c r="G128" t="s">
        <v>90</v>
      </c>
      <c r="H128">
        <v>133</v>
      </c>
      <c r="I128">
        <v>1</v>
      </c>
      <c r="J128">
        <v>1</v>
      </c>
      <c r="K128">
        <v>497</v>
      </c>
      <c r="L128">
        <v>2</v>
      </c>
    </row>
    <row r="129" spans="1:12">
      <c r="A129" t="s">
        <v>153</v>
      </c>
      <c r="B129" s="1">
        <v>45620.007638888892</v>
      </c>
      <c r="C129" t="s">
        <v>13</v>
      </c>
      <c r="D129" s="9" t="s">
        <v>26</v>
      </c>
      <c r="E129" s="2">
        <v>45509</v>
      </c>
      <c r="F129" t="b">
        <v>0</v>
      </c>
      <c r="G129" t="s">
        <v>90</v>
      </c>
      <c r="H129">
        <v>132</v>
      </c>
      <c r="I129">
        <v>27</v>
      </c>
      <c r="J129">
        <v>1</v>
      </c>
      <c r="K129">
        <v>358</v>
      </c>
      <c r="L129">
        <v>2</v>
      </c>
    </row>
    <row r="130" spans="1:12">
      <c r="A130" t="s">
        <v>154</v>
      </c>
      <c r="B130" s="1">
        <v>45390.86041666667</v>
      </c>
      <c r="C130" t="s">
        <v>30</v>
      </c>
      <c r="D130" s="9" t="s">
        <v>26</v>
      </c>
      <c r="E130" s="2">
        <v>45516</v>
      </c>
      <c r="F130" t="b">
        <v>1</v>
      </c>
      <c r="G130" t="s">
        <v>90</v>
      </c>
      <c r="H130">
        <v>132</v>
      </c>
      <c r="I130">
        <v>19</v>
      </c>
      <c r="J130">
        <v>3</v>
      </c>
      <c r="K130">
        <v>543</v>
      </c>
      <c r="L130">
        <v>2</v>
      </c>
    </row>
    <row r="131" spans="1:12">
      <c r="A131" t="s">
        <v>155</v>
      </c>
      <c r="B131" s="1">
        <v>45572</v>
      </c>
      <c r="C131" t="s">
        <v>37</v>
      </c>
      <c r="D131" s="9" t="s">
        <v>14</v>
      </c>
      <c r="E131" s="2">
        <v>45518</v>
      </c>
      <c r="F131" t="b">
        <v>0</v>
      </c>
      <c r="G131" t="s">
        <v>90</v>
      </c>
      <c r="H131">
        <v>132</v>
      </c>
      <c r="I131">
        <v>13</v>
      </c>
      <c r="J131">
        <v>1</v>
      </c>
      <c r="K131">
        <v>385</v>
      </c>
      <c r="L131">
        <v>1</v>
      </c>
    </row>
    <row r="132" spans="1:12">
      <c r="A132" t="s">
        <v>156</v>
      </c>
      <c r="B132" s="1">
        <v>45416</v>
      </c>
      <c r="C132" t="s">
        <v>24</v>
      </c>
      <c r="D132" s="9" t="s">
        <v>26</v>
      </c>
      <c r="E132" s="2">
        <v>45512</v>
      </c>
      <c r="F132" t="b">
        <v>1</v>
      </c>
      <c r="G132" t="s">
        <v>90</v>
      </c>
      <c r="H132">
        <v>132</v>
      </c>
      <c r="I132">
        <v>23</v>
      </c>
      <c r="J132">
        <v>1</v>
      </c>
      <c r="K132">
        <v>541</v>
      </c>
      <c r="L132">
        <v>1</v>
      </c>
    </row>
    <row r="133" spans="1:12">
      <c r="A133" t="s">
        <v>157</v>
      </c>
      <c r="B133" s="1">
        <v>45357</v>
      </c>
      <c r="C133" t="s">
        <v>33</v>
      </c>
      <c r="D133" s="9" t="s">
        <v>14</v>
      </c>
      <c r="E133" s="2">
        <v>45505</v>
      </c>
      <c r="F133" t="b">
        <v>0</v>
      </c>
      <c r="G133" t="s">
        <v>90</v>
      </c>
      <c r="H133">
        <v>132</v>
      </c>
      <c r="I133">
        <v>25</v>
      </c>
      <c r="J133">
        <v>1</v>
      </c>
      <c r="K133">
        <v>600</v>
      </c>
      <c r="L133">
        <v>1</v>
      </c>
    </row>
    <row r="134" spans="1:12">
      <c r="A134" t="s">
        <v>158</v>
      </c>
      <c r="B134" s="1">
        <v>45499.072222222225</v>
      </c>
      <c r="C134" t="s">
        <v>13</v>
      </c>
      <c r="D134" s="9" t="s">
        <v>14</v>
      </c>
      <c r="E134" s="2">
        <v>45519</v>
      </c>
      <c r="F134" t="b">
        <v>0</v>
      </c>
      <c r="G134" t="s">
        <v>90</v>
      </c>
      <c r="H134">
        <v>132</v>
      </c>
      <c r="I134">
        <v>16</v>
      </c>
      <c r="J134">
        <v>1</v>
      </c>
      <c r="K134">
        <v>625</v>
      </c>
      <c r="L134">
        <v>2</v>
      </c>
    </row>
    <row r="135" spans="1:12">
      <c r="A135" t="s">
        <v>159</v>
      </c>
      <c r="B135" s="1">
        <v>45477.768750000003</v>
      </c>
      <c r="C135" t="s">
        <v>30</v>
      </c>
      <c r="D135" s="9" t="s">
        <v>20</v>
      </c>
      <c r="E135" s="2">
        <v>45508</v>
      </c>
      <c r="F135" t="b">
        <v>1</v>
      </c>
      <c r="G135" t="s">
        <v>90</v>
      </c>
      <c r="H135">
        <v>131</v>
      </c>
      <c r="I135">
        <v>27</v>
      </c>
      <c r="J135">
        <v>6</v>
      </c>
      <c r="K135">
        <v>533</v>
      </c>
      <c r="L135">
        <v>2</v>
      </c>
    </row>
    <row r="136" spans="1:12">
      <c r="A136" t="s">
        <v>160</v>
      </c>
      <c r="B136" s="1">
        <v>45604.820138888892</v>
      </c>
      <c r="C136" t="s">
        <v>13</v>
      </c>
      <c r="D136" s="9" t="s">
        <v>14</v>
      </c>
      <c r="E136" s="2">
        <v>45525</v>
      </c>
      <c r="F136" t="b">
        <v>0</v>
      </c>
      <c r="G136" t="s">
        <v>90</v>
      </c>
      <c r="H136">
        <v>131</v>
      </c>
      <c r="I136">
        <v>27</v>
      </c>
      <c r="J136">
        <v>0</v>
      </c>
      <c r="K136">
        <v>503</v>
      </c>
      <c r="L136">
        <v>2</v>
      </c>
    </row>
    <row r="137" spans="1:12">
      <c r="A137" t="s">
        <v>161</v>
      </c>
      <c r="B137" s="1">
        <v>45510.609722222223</v>
      </c>
      <c r="C137" t="s">
        <v>13</v>
      </c>
      <c r="D137" s="9" t="s">
        <v>20</v>
      </c>
      <c r="E137" s="2">
        <v>45522</v>
      </c>
      <c r="F137" t="b">
        <v>1</v>
      </c>
      <c r="G137" t="s">
        <v>90</v>
      </c>
      <c r="H137">
        <v>131</v>
      </c>
      <c r="I137">
        <v>13</v>
      </c>
      <c r="J137">
        <v>5</v>
      </c>
      <c r="K137">
        <v>537</v>
      </c>
      <c r="L137">
        <v>2</v>
      </c>
    </row>
    <row r="138" spans="1:12">
      <c r="A138" t="s">
        <v>162</v>
      </c>
      <c r="B138" s="1">
        <v>45345.992361111108</v>
      </c>
      <c r="C138" t="s">
        <v>37</v>
      </c>
      <c r="D138" s="9" t="s">
        <v>26</v>
      </c>
      <c r="E138" s="2">
        <v>45508</v>
      </c>
      <c r="F138" t="b">
        <v>1</v>
      </c>
      <c r="G138" t="s">
        <v>90</v>
      </c>
      <c r="H138">
        <v>131</v>
      </c>
      <c r="I138">
        <v>27</v>
      </c>
      <c r="J138">
        <v>3</v>
      </c>
      <c r="K138">
        <v>645</v>
      </c>
      <c r="L138">
        <v>2</v>
      </c>
    </row>
    <row r="139" spans="1:12">
      <c r="A139" t="s">
        <v>163</v>
      </c>
      <c r="B139" s="1">
        <v>45534.451388888891</v>
      </c>
      <c r="C139" t="s">
        <v>30</v>
      </c>
      <c r="D139" s="9" t="s">
        <v>20</v>
      </c>
      <c r="E139" s="2">
        <v>45530</v>
      </c>
      <c r="F139" t="b">
        <v>1</v>
      </c>
      <c r="G139" t="s">
        <v>90</v>
      </c>
      <c r="H139">
        <v>131</v>
      </c>
      <c r="I139">
        <v>5</v>
      </c>
      <c r="J139">
        <v>4</v>
      </c>
      <c r="K139">
        <v>616</v>
      </c>
      <c r="L139">
        <v>2</v>
      </c>
    </row>
    <row r="140" spans="1:12">
      <c r="A140" t="s">
        <v>164</v>
      </c>
      <c r="B140" s="1">
        <v>45636.490277777775</v>
      </c>
      <c r="C140" t="s">
        <v>37</v>
      </c>
      <c r="D140" s="9" t="s">
        <v>26</v>
      </c>
      <c r="E140" s="2">
        <v>45534</v>
      </c>
      <c r="F140" t="b">
        <v>1</v>
      </c>
      <c r="G140" t="s">
        <v>90</v>
      </c>
      <c r="H140">
        <v>130</v>
      </c>
      <c r="I140">
        <v>1</v>
      </c>
      <c r="J140">
        <v>3</v>
      </c>
      <c r="K140">
        <v>460</v>
      </c>
      <c r="L140">
        <v>2</v>
      </c>
    </row>
    <row r="141" spans="1:12">
      <c r="A141" t="s">
        <v>165</v>
      </c>
      <c r="B141" s="1">
        <v>45576.90347222222</v>
      </c>
      <c r="C141" t="s">
        <v>24</v>
      </c>
      <c r="D141" s="9" t="s">
        <v>26</v>
      </c>
      <c r="E141" s="2">
        <v>45508</v>
      </c>
      <c r="F141" t="b">
        <v>1</v>
      </c>
      <c r="G141" t="s">
        <v>90</v>
      </c>
      <c r="H141">
        <v>130</v>
      </c>
      <c r="I141">
        <v>27</v>
      </c>
      <c r="J141">
        <v>2</v>
      </c>
      <c r="K141">
        <v>557</v>
      </c>
      <c r="L141">
        <v>2</v>
      </c>
    </row>
    <row r="142" spans="1:12">
      <c r="A142" t="s">
        <v>166</v>
      </c>
      <c r="B142" s="1">
        <v>45454</v>
      </c>
      <c r="C142" t="s">
        <v>37</v>
      </c>
      <c r="D142" s="9" t="s">
        <v>26</v>
      </c>
      <c r="E142" s="2">
        <v>45518</v>
      </c>
      <c r="F142" t="b">
        <v>1</v>
      </c>
      <c r="G142" t="s">
        <v>90</v>
      </c>
      <c r="H142">
        <v>129</v>
      </c>
      <c r="I142">
        <v>17</v>
      </c>
      <c r="J142">
        <v>5</v>
      </c>
      <c r="K142">
        <v>503</v>
      </c>
      <c r="L142">
        <v>1</v>
      </c>
    </row>
    <row r="143" spans="1:12">
      <c r="A143" t="s">
        <v>167</v>
      </c>
      <c r="B143" s="1">
        <v>45479.302777777775</v>
      </c>
      <c r="C143" t="s">
        <v>24</v>
      </c>
      <c r="D143" s="9" t="s">
        <v>26</v>
      </c>
      <c r="E143" s="2">
        <v>45517</v>
      </c>
      <c r="F143" t="b">
        <v>1</v>
      </c>
      <c r="G143" t="s">
        <v>90</v>
      </c>
      <c r="H143">
        <v>129</v>
      </c>
      <c r="I143">
        <v>18</v>
      </c>
      <c r="J143">
        <v>1</v>
      </c>
      <c r="K143">
        <v>629</v>
      </c>
      <c r="L143">
        <v>2</v>
      </c>
    </row>
    <row r="144" spans="1:12">
      <c r="A144" t="s">
        <v>168</v>
      </c>
      <c r="B144" s="1">
        <v>45450.07708333333</v>
      </c>
      <c r="C144" t="s">
        <v>19</v>
      </c>
      <c r="D144" s="9" t="s">
        <v>14</v>
      </c>
      <c r="E144" s="2">
        <v>45510</v>
      </c>
      <c r="F144" t="b">
        <v>1</v>
      </c>
      <c r="G144" t="s">
        <v>90</v>
      </c>
      <c r="H144">
        <v>129</v>
      </c>
      <c r="I144">
        <v>25</v>
      </c>
      <c r="J144">
        <v>1</v>
      </c>
      <c r="K144">
        <v>581</v>
      </c>
      <c r="L144">
        <v>2</v>
      </c>
    </row>
    <row r="145" spans="1:12">
      <c r="A145" t="s">
        <v>169</v>
      </c>
      <c r="B145" s="1">
        <v>45569.341666666667</v>
      </c>
      <c r="C145" t="s">
        <v>37</v>
      </c>
      <c r="D145" s="9" t="s">
        <v>17</v>
      </c>
      <c r="E145" s="2">
        <v>45517</v>
      </c>
      <c r="F145" t="b">
        <v>1</v>
      </c>
      <c r="G145" t="s">
        <v>90</v>
      </c>
      <c r="H145">
        <v>129</v>
      </c>
      <c r="I145">
        <v>18</v>
      </c>
      <c r="J145">
        <v>21</v>
      </c>
      <c r="K145">
        <v>516</v>
      </c>
      <c r="L145">
        <v>0</v>
      </c>
    </row>
    <row r="146" spans="1:12">
      <c r="A146" t="s">
        <v>170</v>
      </c>
      <c r="B146" s="1">
        <v>45451.431944444441</v>
      </c>
      <c r="C146" t="s">
        <v>13</v>
      </c>
      <c r="D146" s="9" t="s">
        <v>14</v>
      </c>
      <c r="E146" s="2">
        <v>45508</v>
      </c>
      <c r="F146" t="b">
        <v>0</v>
      </c>
      <c r="G146" t="s">
        <v>90</v>
      </c>
      <c r="H146">
        <v>128</v>
      </c>
      <c r="I146">
        <v>4</v>
      </c>
      <c r="J146">
        <v>3</v>
      </c>
      <c r="K146">
        <v>569</v>
      </c>
      <c r="L146">
        <v>2</v>
      </c>
    </row>
    <row r="147" spans="1:12">
      <c r="A147" t="s">
        <v>171</v>
      </c>
      <c r="B147" s="1">
        <v>45448</v>
      </c>
      <c r="C147" t="s">
        <v>33</v>
      </c>
      <c r="D147" s="9" t="s">
        <v>20</v>
      </c>
      <c r="E147" s="2">
        <v>45522</v>
      </c>
      <c r="F147" t="b">
        <v>1</v>
      </c>
      <c r="G147" t="s">
        <v>90</v>
      </c>
      <c r="H147">
        <v>128</v>
      </c>
      <c r="I147">
        <v>13</v>
      </c>
      <c r="J147">
        <v>3</v>
      </c>
      <c r="K147">
        <v>509</v>
      </c>
      <c r="L147">
        <v>1</v>
      </c>
    </row>
    <row r="148" spans="1:12">
      <c r="A148" t="s">
        <v>172</v>
      </c>
      <c r="B148" s="1">
        <v>45506</v>
      </c>
      <c r="C148" t="s">
        <v>51</v>
      </c>
      <c r="D148" s="9" t="s">
        <v>14</v>
      </c>
      <c r="E148" s="2">
        <v>45531</v>
      </c>
      <c r="F148" t="b">
        <v>0</v>
      </c>
      <c r="G148" t="s">
        <v>90</v>
      </c>
      <c r="H148">
        <v>127</v>
      </c>
      <c r="I148">
        <v>8</v>
      </c>
      <c r="J148">
        <v>4</v>
      </c>
      <c r="K148">
        <v>451</v>
      </c>
      <c r="L148">
        <v>1</v>
      </c>
    </row>
    <row r="149" spans="1:12">
      <c r="A149" t="s">
        <v>173</v>
      </c>
      <c r="B149" s="1">
        <v>45512</v>
      </c>
      <c r="C149" t="s">
        <v>19</v>
      </c>
      <c r="D149" s="9" t="s">
        <v>14</v>
      </c>
      <c r="E149" s="2">
        <v>45519</v>
      </c>
      <c r="F149" t="b">
        <v>1</v>
      </c>
      <c r="G149" t="s">
        <v>90</v>
      </c>
      <c r="H149">
        <v>127</v>
      </c>
      <c r="I149">
        <v>16</v>
      </c>
      <c r="J149">
        <v>1</v>
      </c>
      <c r="K149">
        <v>445</v>
      </c>
      <c r="L149">
        <v>1</v>
      </c>
    </row>
    <row r="150" spans="1:12">
      <c r="A150" t="s">
        <v>174</v>
      </c>
      <c r="B150" s="1">
        <v>45534.313194444447</v>
      </c>
      <c r="C150" t="s">
        <v>30</v>
      </c>
      <c r="D150" s="9" t="s">
        <v>20</v>
      </c>
      <c r="E150" s="2">
        <v>45534</v>
      </c>
      <c r="F150" t="b">
        <v>1</v>
      </c>
      <c r="G150" t="s">
        <v>90</v>
      </c>
      <c r="H150">
        <v>126</v>
      </c>
      <c r="I150">
        <v>1</v>
      </c>
      <c r="J150">
        <v>6</v>
      </c>
      <c r="K150">
        <v>572</v>
      </c>
      <c r="L150">
        <v>2</v>
      </c>
    </row>
    <row r="151" spans="1:12">
      <c r="A151" t="s">
        <v>175</v>
      </c>
      <c r="B151" s="1">
        <v>45586.788194444445</v>
      </c>
      <c r="C151" t="s">
        <v>51</v>
      </c>
      <c r="D151" s="9" t="s">
        <v>14</v>
      </c>
      <c r="E151" s="2">
        <v>45513</v>
      </c>
      <c r="F151" t="b">
        <v>0</v>
      </c>
      <c r="G151" t="s">
        <v>90</v>
      </c>
      <c r="H151">
        <v>126</v>
      </c>
      <c r="I151">
        <v>24</v>
      </c>
      <c r="J151">
        <v>1</v>
      </c>
      <c r="K151">
        <v>492</v>
      </c>
      <c r="L151">
        <v>2</v>
      </c>
    </row>
    <row r="152" spans="1:12">
      <c r="A152" t="s">
        <v>176</v>
      </c>
      <c r="B152" s="1">
        <v>45556.936805555553</v>
      </c>
      <c r="C152" t="s">
        <v>22</v>
      </c>
      <c r="D152" s="9" t="s">
        <v>26</v>
      </c>
      <c r="E152" s="2">
        <v>45508</v>
      </c>
      <c r="F152" t="b">
        <v>1</v>
      </c>
      <c r="G152" t="s">
        <v>90</v>
      </c>
      <c r="H152">
        <v>126</v>
      </c>
      <c r="I152">
        <v>27</v>
      </c>
      <c r="J152">
        <v>1</v>
      </c>
      <c r="K152">
        <v>320</v>
      </c>
      <c r="L152">
        <v>2</v>
      </c>
    </row>
    <row r="153" spans="1:12">
      <c r="A153" t="s">
        <v>177</v>
      </c>
      <c r="B153" s="1">
        <v>45427.066666666666</v>
      </c>
      <c r="C153" t="s">
        <v>33</v>
      </c>
      <c r="D153" s="9" t="s">
        <v>14</v>
      </c>
      <c r="E153" s="2">
        <v>45529</v>
      </c>
      <c r="F153" t="b">
        <v>0</v>
      </c>
      <c r="G153" t="s">
        <v>90</v>
      </c>
      <c r="H153">
        <v>126</v>
      </c>
      <c r="I153">
        <v>18</v>
      </c>
      <c r="J153">
        <v>1</v>
      </c>
      <c r="K153">
        <v>661</v>
      </c>
      <c r="L153">
        <v>2</v>
      </c>
    </row>
    <row r="154" spans="1:12">
      <c r="A154" t="s">
        <v>178</v>
      </c>
      <c r="B154" s="1">
        <v>45447</v>
      </c>
      <c r="C154" t="s">
        <v>37</v>
      </c>
      <c r="D154" s="9" t="s">
        <v>26</v>
      </c>
      <c r="E154" s="2">
        <v>45510</v>
      </c>
      <c r="F154" t="b">
        <v>1</v>
      </c>
      <c r="G154" t="s">
        <v>90</v>
      </c>
      <c r="H154">
        <v>125</v>
      </c>
      <c r="I154">
        <v>25</v>
      </c>
      <c r="J154">
        <v>1</v>
      </c>
      <c r="K154">
        <v>510</v>
      </c>
      <c r="L154">
        <v>1</v>
      </c>
    </row>
    <row r="155" spans="1:12">
      <c r="A155" t="s">
        <v>179</v>
      </c>
      <c r="B155" s="1">
        <v>45628</v>
      </c>
      <c r="C155" t="s">
        <v>24</v>
      </c>
      <c r="D155" s="9" t="s">
        <v>26</v>
      </c>
      <c r="E155" s="2">
        <v>45508</v>
      </c>
      <c r="F155" t="b">
        <v>1</v>
      </c>
      <c r="G155" t="s">
        <v>90</v>
      </c>
      <c r="H155">
        <v>125</v>
      </c>
      <c r="I155">
        <v>27</v>
      </c>
      <c r="J155">
        <v>1</v>
      </c>
      <c r="K155">
        <v>329</v>
      </c>
      <c r="L155">
        <v>1</v>
      </c>
    </row>
    <row r="156" spans="1:12">
      <c r="A156" t="s">
        <v>180</v>
      </c>
      <c r="B156" s="1">
        <v>45561.789583333331</v>
      </c>
      <c r="C156" t="s">
        <v>13</v>
      </c>
      <c r="D156" s="9" t="s">
        <v>14</v>
      </c>
      <c r="E156" s="2">
        <v>45519</v>
      </c>
      <c r="F156" t="b">
        <v>1</v>
      </c>
      <c r="G156" t="s">
        <v>90</v>
      </c>
      <c r="H156">
        <v>125</v>
      </c>
      <c r="I156">
        <v>16</v>
      </c>
      <c r="J156">
        <v>1</v>
      </c>
      <c r="K156">
        <v>404</v>
      </c>
      <c r="L156">
        <v>2</v>
      </c>
    </row>
    <row r="157" spans="1:12">
      <c r="A157" t="s">
        <v>181</v>
      </c>
      <c r="B157" s="1">
        <v>45568</v>
      </c>
      <c r="C157" t="s">
        <v>24</v>
      </c>
      <c r="D157" s="9" t="s">
        <v>26</v>
      </c>
      <c r="E157" s="2">
        <v>45520</v>
      </c>
      <c r="F157" t="b">
        <v>1</v>
      </c>
      <c r="G157" t="s">
        <v>90</v>
      </c>
      <c r="H157">
        <v>125</v>
      </c>
      <c r="I157">
        <v>15</v>
      </c>
      <c r="J157">
        <v>7</v>
      </c>
      <c r="K157">
        <v>389</v>
      </c>
      <c r="L157">
        <v>1</v>
      </c>
    </row>
    <row r="158" spans="1:12">
      <c r="A158" t="s">
        <v>182</v>
      </c>
      <c r="B158" s="1">
        <v>45294.15902777778</v>
      </c>
      <c r="C158" t="s">
        <v>24</v>
      </c>
      <c r="D158" s="9" t="s">
        <v>14</v>
      </c>
      <c r="E158" s="2">
        <v>45510</v>
      </c>
      <c r="F158" t="b">
        <v>0</v>
      </c>
      <c r="G158" t="s">
        <v>90</v>
      </c>
      <c r="H158">
        <v>125</v>
      </c>
      <c r="I158">
        <v>20</v>
      </c>
      <c r="J158">
        <v>5</v>
      </c>
      <c r="K158">
        <v>465</v>
      </c>
      <c r="L158">
        <v>2</v>
      </c>
    </row>
    <row r="159" spans="1:12">
      <c r="A159" t="s">
        <v>183</v>
      </c>
      <c r="B159" s="1">
        <v>45505</v>
      </c>
      <c r="C159" t="s">
        <v>13</v>
      </c>
      <c r="D159" s="9" t="s">
        <v>14</v>
      </c>
      <c r="E159" s="2">
        <v>45532</v>
      </c>
      <c r="F159" t="b">
        <v>0</v>
      </c>
      <c r="G159" t="s">
        <v>90</v>
      </c>
      <c r="H159">
        <v>125</v>
      </c>
      <c r="I159">
        <v>30</v>
      </c>
      <c r="J159">
        <v>3</v>
      </c>
      <c r="K159">
        <v>452</v>
      </c>
      <c r="L159">
        <v>1</v>
      </c>
    </row>
    <row r="160" spans="1:12">
      <c r="A160" t="s">
        <v>184</v>
      </c>
      <c r="B160" s="1">
        <v>45419.938194444447</v>
      </c>
      <c r="C160" t="s">
        <v>22</v>
      </c>
      <c r="D160" s="9" t="s">
        <v>26</v>
      </c>
      <c r="E160" s="2">
        <v>45513</v>
      </c>
      <c r="F160" t="b">
        <v>0</v>
      </c>
      <c r="G160" t="s">
        <v>90</v>
      </c>
      <c r="H160">
        <v>125</v>
      </c>
      <c r="I160">
        <v>20</v>
      </c>
      <c r="J160">
        <v>2</v>
      </c>
      <c r="K160">
        <v>624</v>
      </c>
      <c r="L160">
        <v>2</v>
      </c>
    </row>
    <row r="161" spans="1:12">
      <c r="A161" t="s">
        <v>185</v>
      </c>
      <c r="B161" s="1">
        <v>45394.293749999997</v>
      </c>
      <c r="C161" t="s">
        <v>37</v>
      </c>
      <c r="D161" s="9" t="s">
        <v>14</v>
      </c>
      <c r="E161" s="2">
        <v>45518</v>
      </c>
      <c r="F161" t="b">
        <v>0</v>
      </c>
      <c r="G161" t="s">
        <v>90</v>
      </c>
      <c r="H161">
        <v>125</v>
      </c>
      <c r="I161">
        <v>10</v>
      </c>
      <c r="J161">
        <v>1</v>
      </c>
      <c r="K161">
        <v>649</v>
      </c>
      <c r="L161">
        <v>2</v>
      </c>
    </row>
    <row r="162" spans="1:12">
      <c r="A162" t="s">
        <v>186</v>
      </c>
      <c r="B162" s="1">
        <v>45302</v>
      </c>
      <c r="C162" t="s">
        <v>22</v>
      </c>
      <c r="D162" s="9" t="s">
        <v>26</v>
      </c>
      <c r="E162" s="2">
        <v>45521</v>
      </c>
      <c r="F162" t="b">
        <v>1</v>
      </c>
      <c r="G162" t="s">
        <v>90</v>
      </c>
      <c r="H162">
        <v>125</v>
      </c>
      <c r="I162">
        <v>14</v>
      </c>
      <c r="J162">
        <v>1</v>
      </c>
      <c r="K162">
        <v>655</v>
      </c>
      <c r="L162">
        <v>1</v>
      </c>
    </row>
    <row r="163" spans="1:12">
      <c r="A163" t="s">
        <v>187</v>
      </c>
      <c r="B163" s="1">
        <v>45474.48333333333</v>
      </c>
      <c r="C163" t="s">
        <v>19</v>
      </c>
      <c r="D163" s="9" t="s">
        <v>14</v>
      </c>
      <c r="E163" s="2">
        <v>45534</v>
      </c>
      <c r="F163" t="b">
        <v>0</v>
      </c>
      <c r="G163" t="s">
        <v>90</v>
      </c>
      <c r="H163">
        <v>124</v>
      </c>
      <c r="I163">
        <v>14</v>
      </c>
      <c r="J163">
        <v>1</v>
      </c>
      <c r="K163">
        <v>550</v>
      </c>
      <c r="L163">
        <v>2</v>
      </c>
    </row>
    <row r="164" spans="1:12">
      <c r="A164" t="s">
        <v>188</v>
      </c>
      <c r="B164" s="1">
        <v>45598</v>
      </c>
      <c r="C164" t="s">
        <v>13</v>
      </c>
      <c r="D164" s="9" t="s">
        <v>14</v>
      </c>
      <c r="E164" s="2">
        <v>45515</v>
      </c>
      <c r="F164" t="b">
        <v>0</v>
      </c>
      <c r="G164" t="s">
        <v>90</v>
      </c>
      <c r="H164">
        <v>123</v>
      </c>
      <c r="I164">
        <v>12</v>
      </c>
      <c r="J164">
        <v>1</v>
      </c>
      <c r="K164">
        <v>359</v>
      </c>
      <c r="L164">
        <v>1</v>
      </c>
    </row>
    <row r="165" spans="1:12">
      <c r="A165" t="s">
        <v>189</v>
      </c>
      <c r="B165" s="1">
        <v>45582.179166666669</v>
      </c>
      <c r="C165" t="s">
        <v>19</v>
      </c>
      <c r="D165" s="9" t="s">
        <v>14</v>
      </c>
      <c r="E165" s="2">
        <v>45514</v>
      </c>
      <c r="F165" t="b">
        <v>0</v>
      </c>
      <c r="G165" t="s">
        <v>90</v>
      </c>
      <c r="H165">
        <v>123</v>
      </c>
      <c r="I165">
        <v>12</v>
      </c>
      <c r="J165">
        <v>3</v>
      </c>
      <c r="K165">
        <v>494</v>
      </c>
      <c r="L165">
        <v>2</v>
      </c>
    </row>
    <row r="166" spans="1:12">
      <c r="A166" t="s">
        <v>190</v>
      </c>
      <c r="B166" s="1">
        <v>45413</v>
      </c>
      <c r="C166" t="s">
        <v>13</v>
      </c>
      <c r="D166" s="9" t="s">
        <v>26</v>
      </c>
      <c r="E166" s="2">
        <v>45533</v>
      </c>
      <c r="F166" t="b">
        <v>1</v>
      </c>
      <c r="G166" t="s">
        <v>191</v>
      </c>
      <c r="H166">
        <v>122</v>
      </c>
      <c r="I166">
        <v>2</v>
      </c>
      <c r="J166">
        <v>3</v>
      </c>
      <c r="K166">
        <v>544</v>
      </c>
      <c r="L166">
        <v>1</v>
      </c>
    </row>
    <row r="167" spans="1:12">
      <c r="A167" t="s">
        <v>192</v>
      </c>
      <c r="B167" s="1">
        <v>45413</v>
      </c>
      <c r="C167" t="s">
        <v>13</v>
      </c>
      <c r="D167" s="9" t="s">
        <v>14</v>
      </c>
      <c r="E167" s="2">
        <v>45511</v>
      </c>
      <c r="F167" t="b">
        <v>1</v>
      </c>
      <c r="G167" t="s">
        <v>191</v>
      </c>
      <c r="H167">
        <v>122</v>
      </c>
      <c r="I167">
        <v>24</v>
      </c>
      <c r="J167">
        <v>1</v>
      </c>
      <c r="K167">
        <v>544</v>
      </c>
      <c r="L167">
        <v>1</v>
      </c>
    </row>
    <row r="168" spans="1:12">
      <c r="A168" t="s">
        <v>193</v>
      </c>
      <c r="B168" s="1">
        <v>45413</v>
      </c>
      <c r="C168" t="s">
        <v>37</v>
      </c>
      <c r="D168" s="9" t="s">
        <v>20</v>
      </c>
      <c r="E168" s="2">
        <v>45508</v>
      </c>
      <c r="F168" t="b">
        <v>1</v>
      </c>
      <c r="G168" t="s">
        <v>191</v>
      </c>
      <c r="H168">
        <v>122</v>
      </c>
      <c r="I168">
        <v>27</v>
      </c>
      <c r="J168">
        <v>5</v>
      </c>
      <c r="K168">
        <v>544</v>
      </c>
      <c r="L168">
        <v>1</v>
      </c>
    </row>
    <row r="169" spans="1:12">
      <c r="A169" t="s">
        <v>194</v>
      </c>
      <c r="B169" s="1">
        <v>45414</v>
      </c>
      <c r="C169" t="s">
        <v>37</v>
      </c>
      <c r="D169" s="9" t="s">
        <v>26</v>
      </c>
      <c r="E169" s="2">
        <v>45531</v>
      </c>
      <c r="F169" t="b">
        <v>1</v>
      </c>
      <c r="G169" t="s">
        <v>191</v>
      </c>
      <c r="H169">
        <v>121</v>
      </c>
      <c r="I169">
        <v>4</v>
      </c>
      <c r="J169">
        <v>3</v>
      </c>
      <c r="K169">
        <v>543</v>
      </c>
      <c r="L169">
        <v>1</v>
      </c>
    </row>
    <row r="170" spans="1:12">
      <c r="A170" t="s">
        <v>195</v>
      </c>
      <c r="B170" s="1">
        <v>45414</v>
      </c>
      <c r="C170" t="s">
        <v>19</v>
      </c>
      <c r="D170" s="9" t="s">
        <v>14</v>
      </c>
      <c r="E170" s="2">
        <v>45517</v>
      </c>
      <c r="F170" t="b">
        <v>1</v>
      </c>
      <c r="G170" t="s">
        <v>191</v>
      </c>
      <c r="H170">
        <v>121</v>
      </c>
      <c r="I170">
        <v>18</v>
      </c>
      <c r="J170">
        <v>1</v>
      </c>
      <c r="K170">
        <v>543</v>
      </c>
      <c r="L170">
        <v>1</v>
      </c>
    </row>
    <row r="171" spans="1:12">
      <c r="A171" t="s">
        <v>196</v>
      </c>
      <c r="B171" s="1">
        <v>45414</v>
      </c>
      <c r="C171" t="s">
        <v>30</v>
      </c>
      <c r="D171" s="9" t="s">
        <v>26</v>
      </c>
      <c r="E171" s="2">
        <v>45517</v>
      </c>
      <c r="F171" t="b">
        <v>1</v>
      </c>
      <c r="G171" t="s">
        <v>191</v>
      </c>
      <c r="H171">
        <v>121</v>
      </c>
      <c r="I171">
        <v>18</v>
      </c>
      <c r="J171">
        <v>1</v>
      </c>
      <c r="K171">
        <v>543</v>
      </c>
      <c r="L171">
        <v>1</v>
      </c>
    </row>
    <row r="172" spans="1:12">
      <c r="A172" t="s">
        <v>197</v>
      </c>
      <c r="B172" s="1">
        <v>45414</v>
      </c>
      <c r="C172" t="s">
        <v>37</v>
      </c>
      <c r="D172" s="9" t="s">
        <v>14</v>
      </c>
      <c r="E172" s="2">
        <v>45508</v>
      </c>
      <c r="F172" t="b">
        <v>0</v>
      </c>
      <c r="G172" t="s">
        <v>191</v>
      </c>
      <c r="H172">
        <v>121</v>
      </c>
      <c r="I172">
        <v>21</v>
      </c>
      <c r="J172">
        <v>1</v>
      </c>
      <c r="K172">
        <v>543</v>
      </c>
      <c r="L172">
        <v>1</v>
      </c>
    </row>
    <row r="173" spans="1:12">
      <c r="A173" t="s">
        <v>198</v>
      </c>
      <c r="B173" s="1">
        <v>45414</v>
      </c>
      <c r="C173" t="s">
        <v>37</v>
      </c>
      <c r="D173" s="9" t="s">
        <v>14</v>
      </c>
      <c r="E173" s="2">
        <v>45529</v>
      </c>
      <c r="F173" t="b">
        <v>1</v>
      </c>
      <c r="G173" t="s">
        <v>191</v>
      </c>
      <c r="H173">
        <v>121</v>
      </c>
      <c r="I173">
        <v>6</v>
      </c>
      <c r="J173">
        <v>0</v>
      </c>
      <c r="K173">
        <v>543</v>
      </c>
      <c r="L173">
        <v>1</v>
      </c>
    </row>
    <row r="174" spans="1:12">
      <c r="A174" t="s">
        <v>199</v>
      </c>
      <c r="B174" s="1">
        <v>45415</v>
      </c>
      <c r="C174" t="s">
        <v>13</v>
      </c>
      <c r="D174" s="9" t="s">
        <v>14</v>
      </c>
      <c r="E174" s="2">
        <v>45519</v>
      </c>
      <c r="F174" t="b">
        <v>0</v>
      </c>
      <c r="G174" t="s">
        <v>191</v>
      </c>
      <c r="H174">
        <v>120</v>
      </c>
      <c r="I174">
        <v>7</v>
      </c>
      <c r="J174">
        <v>1</v>
      </c>
      <c r="K174">
        <v>542</v>
      </c>
      <c r="L174">
        <v>1</v>
      </c>
    </row>
    <row r="175" spans="1:12">
      <c r="A175" t="s">
        <v>200</v>
      </c>
      <c r="B175" s="1">
        <v>45415</v>
      </c>
      <c r="C175" t="s">
        <v>24</v>
      </c>
      <c r="D175" s="9" t="s">
        <v>26</v>
      </c>
      <c r="E175" s="2">
        <v>45530</v>
      </c>
      <c r="F175" t="b">
        <v>1</v>
      </c>
      <c r="G175" t="s">
        <v>191</v>
      </c>
      <c r="H175">
        <v>120</v>
      </c>
      <c r="I175">
        <v>5</v>
      </c>
      <c r="J175">
        <v>5</v>
      </c>
      <c r="K175">
        <v>542</v>
      </c>
      <c r="L175">
        <v>1</v>
      </c>
    </row>
    <row r="176" spans="1:12">
      <c r="A176" t="s">
        <v>201</v>
      </c>
      <c r="B176" s="1">
        <v>45415</v>
      </c>
      <c r="C176" t="s">
        <v>37</v>
      </c>
      <c r="D176" s="9" t="s">
        <v>20</v>
      </c>
      <c r="E176" s="2">
        <v>45533</v>
      </c>
      <c r="F176" t="b">
        <v>1</v>
      </c>
      <c r="G176" t="s">
        <v>191</v>
      </c>
      <c r="H176">
        <v>120</v>
      </c>
      <c r="I176">
        <v>2</v>
      </c>
      <c r="J176">
        <v>2</v>
      </c>
      <c r="K176">
        <v>542</v>
      </c>
      <c r="L176">
        <v>1</v>
      </c>
    </row>
    <row r="177" spans="1:12">
      <c r="A177" t="s">
        <v>202</v>
      </c>
      <c r="B177" s="1">
        <v>45415</v>
      </c>
      <c r="C177" t="s">
        <v>51</v>
      </c>
      <c r="D177" s="9" t="s">
        <v>14</v>
      </c>
      <c r="E177" s="2">
        <v>45512</v>
      </c>
      <c r="F177" t="b">
        <v>1</v>
      </c>
      <c r="G177" t="s">
        <v>191</v>
      </c>
      <c r="H177">
        <v>120</v>
      </c>
      <c r="I177">
        <v>23</v>
      </c>
      <c r="J177">
        <v>2</v>
      </c>
      <c r="K177">
        <v>542</v>
      </c>
      <c r="L177">
        <v>1</v>
      </c>
    </row>
    <row r="178" spans="1:12">
      <c r="A178" t="s">
        <v>203</v>
      </c>
      <c r="B178" s="1">
        <v>45415</v>
      </c>
      <c r="C178" t="s">
        <v>37</v>
      </c>
      <c r="D178" s="9" t="s">
        <v>17</v>
      </c>
      <c r="E178" s="2">
        <v>45513</v>
      </c>
      <c r="F178" t="b">
        <v>1</v>
      </c>
      <c r="G178" t="s">
        <v>191</v>
      </c>
      <c r="H178">
        <v>120</v>
      </c>
      <c r="I178">
        <v>22</v>
      </c>
      <c r="J178">
        <v>9</v>
      </c>
      <c r="K178">
        <v>542</v>
      </c>
      <c r="L178">
        <v>0</v>
      </c>
    </row>
    <row r="179" spans="1:12">
      <c r="A179" t="s">
        <v>204</v>
      </c>
      <c r="B179" s="1">
        <v>45415</v>
      </c>
      <c r="C179" t="s">
        <v>30</v>
      </c>
      <c r="D179" s="9" t="s">
        <v>20</v>
      </c>
      <c r="E179" s="2">
        <v>45514</v>
      </c>
      <c r="F179" t="b">
        <v>1</v>
      </c>
      <c r="G179" t="s">
        <v>191</v>
      </c>
      <c r="H179">
        <v>120</v>
      </c>
      <c r="I179">
        <v>21</v>
      </c>
      <c r="J179">
        <v>10</v>
      </c>
      <c r="K179">
        <v>542</v>
      </c>
      <c r="L179">
        <v>0</v>
      </c>
    </row>
    <row r="180" spans="1:12">
      <c r="A180" t="s">
        <v>205</v>
      </c>
      <c r="B180" s="1">
        <v>45416</v>
      </c>
      <c r="C180" t="s">
        <v>13</v>
      </c>
      <c r="D180" s="9" t="s">
        <v>26</v>
      </c>
      <c r="E180" s="2">
        <v>45522</v>
      </c>
      <c r="F180" t="b">
        <v>1</v>
      </c>
      <c r="G180" t="s">
        <v>191</v>
      </c>
      <c r="H180">
        <v>119</v>
      </c>
      <c r="I180">
        <v>13</v>
      </c>
      <c r="J180">
        <v>2</v>
      </c>
      <c r="K180">
        <v>541</v>
      </c>
      <c r="L180">
        <v>1</v>
      </c>
    </row>
    <row r="181" spans="1:12">
      <c r="A181" t="s">
        <v>206</v>
      </c>
      <c r="B181" s="1">
        <v>45416</v>
      </c>
      <c r="C181" t="s">
        <v>13</v>
      </c>
      <c r="D181" s="9" t="s">
        <v>14</v>
      </c>
      <c r="E181" s="2">
        <v>45523</v>
      </c>
      <c r="F181" t="b">
        <v>0</v>
      </c>
      <c r="G181" t="s">
        <v>191</v>
      </c>
      <c r="H181">
        <v>119</v>
      </c>
      <c r="I181">
        <v>19</v>
      </c>
      <c r="J181">
        <v>2</v>
      </c>
      <c r="K181">
        <v>541</v>
      </c>
      <c r="L181">
        <v>1</v>
      </c>
    </row>
    <row r="182" spans="1:12">
      <c r="A182" t="s">
        <v>207</v>
      </c>
      <c r="B182" s="1">
        <v>45417</v>
      </c>
      <c r="C182" t="s">
        <v>37</v>
      </c>
      <c r="D182" s="9" t="s">
        <v>20</v>
      </c>
      <c r="E182" s="2">
        <v>45533</v>
      </c>
      <c r="F182" t="b">
        <v>0</v>
      </c>
      <c r="G182" t="s">
        <v>191</v>
      </c>
      <c r="H182">
        <v>118</v>
      </c>
      <c r="I182">
        <v>19</v>
      </c>
      <c r="J182">
        <v>3</v>
      </c>
      <c r="K182">
        <v>540</v>
      </c>
      <c r="L182">
        <v>1</v>
      </c>
    </row>
    <row r="183" spans="1:12">
      <c r="A183" t="s">
        <v>208</v>
      </c>
      <c r="B183" s="1">
        <v>45417</v>
      </c>
      <c r="C183" t="s">
        <v>30</v>
      </c>
      <c r="D183" s="9" t="s">
        <v>17</v>
      </c>
      <c r="E183" s="2">
        <v>45511</v>
      </c>
      <c r="F183" t="b">
        <v>1</v>
      </c>
      <c r="G183" t="s">
        <v>191</v>
      </c>
      <c r="H183">
        <v>118</v>
      </c>
      <c r="I183">
        <v>24</v>
      </c>
      <c r="J183">
        <v>14</v>
      </c>
      <c r="K183">
        <v>540</v>
      </c>
      <c r="L183">
        <v>0</v>
      </c>
    </row>
    <row r="184" spans="1:12">
      <c r="A184" t="s">
        <v>209</v>
      </c>
      <c r="B184" s="1">
        <v>45417</v>
      </c>
      <c r="C184" t="s">
        <v>30</v>
      </c>
      <c r="D184" s="9" t="s">
        <v>26</v>
      </c>
      <c r="E184" s="2">
        <v>45529</v>
      </c>
      <c r="F184" t="b">
        <v>1</v>
      </c>
      <c r="G184" t="s">
        <v>191</v>
      </c>
      <c r="H184">
        <v>118</v>
      </c>
      <c r="I184">
        <v>6</v>
      </c>
      <c r="J184">
        <v>1</v>
      </c>
      <c r="K184">
        <v>540</v>
      </c>
      <c r="L184">
        <v>1</v>
      </c>
    </row>
    <row r="185" spans="1:12">
      <c r="A185" t="s">
        <v>210</v>
      </c>
      <c r="B185" s="1">
        <v>45417</v>
      </c>
      <c r="C185" t="s">
        <v>22</v>
      </c>
      <c r="D185" s="9" t="s">
        <v>14</v>
      </c>
      <c r="E185" s="2">
        <v>45520</v>
      </c>
      <c r="F185" t="b">
        <v>1</v>
      </c>
      <c r="G185" t="s">
        <v>191</v>
      </c>
      <c r="H185">
        <v>118</v>
      </c>
      <c r="I185">
        <v>15</v>
      </c>
      <c r="J185">
        <v>1</v>
      </c>
      <c r="K185">
        <v>540</v>
      </c>
      <c r="L185">
        <v>1</v>
      </c>
    </row>
    <row r="186" spans="1:12">
      <c r="A186" t="s">
        <v>211</v>
      </c>
      <c r="B186" s="1">
        <v>45417</v>
      </c>
      <c r="C186" t="s">
        <v>37</v>
      </c>
      <c r="D186" s="9" t="s">
        <v>14</v>
      </c>
      <c r="E186" s="2">
        <v>45516</v>
      </c>
      <c r="F186" t="b">
        <v>1</v>
      </c>
      <c r="G186" t="s">
        <v>191</v>
      </c>
      <c r="H186">
        <v>118</v>
      </c>
      <c r="I186">
        <v>19</v>
      </c>
      <c r="J186">
        <v>1</v>
      </c>
      <c r="K186">
        <v>540</v>
      </c>
      <c r="L186">
        <v>1</v>
      </c>
    </row>
    <row r="187" spans="1:12">
      <c r="A187" t="s">
        <v>212</v>
      </c>
      <c r="B187" s="1">
        <v>45417</v>
      </c>
      <c r="C187" t="s">
        <v>13</v>
      </c>
      <c r="D187" s="9" t="s">
        <v>26</v>
      </c>
      <c r="E187" s="2">
        <v>45506</v>
      </c>
      <c r="F187" t="b">
        <v>1</v>
      </c>
      <c r="G187" t="s">
        <v>191</v>
      </c>
      <c r="H187">
        <v>118</v>
      </c>
      <c r="I187">
        <v>29</v>
      </c>
      <c r="J187">
        <v>4</v>
      </c>
      <c r="K187">
        <v>540</v>
      </c>
      <c r="L187">
        <v>1</v>
      </c>
    </row>
    <row r="188" spans="1:12">
      <c r="A188" t="s">
        <v>213</v>
      </c>
      <c r="B188" s="1">
        <v>45418</v>
      </c>
      <c r="C188" t="s">
        <v>30</v>
      </c>
      <c r="D188" s="9" t="s">
        <v>26</v>
      </c>
      <c r="E188" s="2">
        <v>45517</v>
      </c>
      <c r="F188" t="b">
        <v>1</v>
      </c>
      <c r="G188" t="s">
        <v>191</v>
      </c>
      <c r="H188">
        <v>117</v>
      </c>
      <c r="I188">
        <v>18</v>
      </c>
      <c r="J188">
        <v>9</v>
      </c>
      <c r="K188">
        <v>539</v>
      </c>
      <c r="L188">
        <v>0</v>
      </c>
    </row>
    <row r="189" spans="1:12">
      <c r="A189" t="s">
        <v>214</v>
      </c>
      <c r="B189" s="1">
        <v>45419</v>
      </c>
      <c r="C189" t="s">
        <v>13</v>
      </c>
      <c r="D189" s="9" t="s">
        <v>14</v>
      </c>
      <c r="E189" s="2">
        <v>45520</v>
      </c>
      <c r="F189" t="b">
        <v>0</v>
      </c>
      <c r="G189" t="s">
        <v>191</v>
      </c>
      <c r="H189">
        <v>116</v>
      </c>
      <c r="I189">
        <v>2</v>
      </c>
      <c r="J189">
        <v>2</v>
      </c>
      <c r="K189">
        <v>538</v>
      </c>
      <c r="L189">
        <v>1</v>
      </c>
    </row>
    <row r="190" spans="1:12">
      <c r="A190" t="s">
        <v>215</v>
      </c>
      <c r="B190" s="1">
        <v>45419</v>
      </c>
      <c r="C190" t="s">
        <v>37</v>
      </c>
      <c r="D190" s="9" t="s">
        <v>26</v>
      </c>
      <c r="E190" s="2">
        <v>45531</v>
      </c>
      <c r="F190" t="b">
        <v>1</v>
      </c>
      <c r="G190" t="s">
        <v>191</v>
      </c>
      <c r="H190">
        <v>116</v>
      </c>
      <c r="I190">
        <v>4</v>
      </c>
      <c r="J190">
        <v>1</v>
      </c>
      <c r="K190">
        <v>538</v>
      </c>
      <c r="L190">
        <v>1</v>
      </c>
    </row>
    <row r="191" spans="1:12">
      <c r="A191" t="s">
        <v>216</v>
      </c>
      <c r="B191" s="1">
        <v>45419</v>
      </c>
      <c r="C191" t="s">
        <v>37</v>
      </c>
      <c r="D191" s="9" t="s">
        <v>17</v>
      </c>
      <c r="E191" s="2">
        <v>45505</v>
      </c>
      <c r="F191" t="b">
        <v>1</v>
      </c>
      <c r="G191" t="s">
        <v>191</v>
      </c>
      <c r="H191">
        <v>116</v>
      </c>
      <c r="I191">
        <v>30</v>
      </c>
      <c r="J191">
        <v>14</v>
      </c>
      <c r="K191">
        <v>538</v>
      </c>
      <c r="L191">
        <v>0</v>
      </c>
    </row>
    <row r="192" spans="1:12">
      <c r="A192" t="s">
        <v>217</v>
      </c>
      <c r="B192" s="1">
        <v>45419</v>
      </c>
      <c r="C192" t="s">
        <v>13</v>
      </c>
      <c r="D192" s="9" t="s">
        <v>14</v>
      </c>
      <c r="E192" s="2">
        <v>45515</v>
      </c>
      <c r="F192" t="b">
        <v>0</v>
      </c>
      <c r="G192" t="s">
        <v>191</v>
      </c>
      <c r="H192">
        <v>116</v>
      </c>
      <c r="I192">
        <v>27</v>
      </c>
      <c r="J192">
        <v>1</v>
      </c>
      <c r="K192">
        <v>538</v>
      </c>
      <c r="L192">
        <v>1</v>
      </c>
    </row>
    <row r="193" spans="1:12">
      <c r="A193" t="s">
        <v>218</v>
      </c>
      <c r="B193" s="1">
        <v>45419</v>
      </c>
      <c r="C193" t="s">
        <v>19</v>
      </c>
      <c r="D193" s="9" t="s">
        <v>14</v>
      </c>
      <c r="E193" s="2">
        <v>45514</v>
      </c>
      <c r="F193" t="b">
        <v>1</v>
      </c>
      <c r="G193" t="s">
        <v>191</v>
      </c>
      <c r="H193">
        <v>116</v>
      </c>
      <c r="I193">
        <v>21</v>
      </c>
      <c r="J193">
        <v>1</v>
      </c>
      <c r="K193">
        <v>538</v>
      </c>
      <c r="L193">
        <v>1</v>
      </c>
    </row>
    <row r="194" spans="1:12">
      <c r="A194" t="s">
        <v>219</v>
      </c>
      <c r="B194" s="1">
        <v>45420</v>
      </c>
      <c r="C194" t="s">
        <v>51</v>
      </c>
      <c r="D194" s="9" t="s">
        <v>14</v>
      </c>
      <c r="E194" s="2">
        <v>45531</v>
      </c>
      <c r="F194" t="b">
        <v>0</v>
      </c>
      <c r="G194" t="s">
        <v>191</v>
      </c>
      <c r="H194">
        <v>115</v>
      </c>
      <c r="I194">
        <v>3</v>
      </c>
      <c r="J194">
        <v>2</v>
      </c>
      <c r="K194">
        <v>537</v>
      </c>
      <c r="L194">
        <v>1</v>
      </c>
    </row>
    <row r="195" spans="1:12">
      <c r="A195" t="s">
        <v>220</v>
      </c>
      <c r="B195" s="1">
        <v>45420</v>
      </c>
      <c r="C195" t="s">
        <v>30</v>
      </c>
      <c r="D195" s="9" t="s">
        <v>26</v>
      </c>
      <c r="E195" s="2">
        <v>45515</v>
      </c>
      <c r="F195" t="b">
        <v>1</v>
      </c>
      <c r="G195" t="s">
        <v>191</v>
      </c>
      <c r="H195">
        <v>115</v>
      </c>
      <c r="I195">
        <v>20</v>
      </c>
      <c r="J195">
        <v>3</v>
      </c>
      <c r="K195">
        <v>537</v>
      </c>
      <c r="L195">
        <v>1</v>
      </c>
    </row>
    <row r="196" spans="1:12">
      <c r="A196" t="s">
        <v>221</v>
      </c>
      <c r="B196" s="1">
        <v>45420</v>
      </c>
      <c r="C196" t="s">
        <v>13</v>
      </c>
      <c r="D196" s="9" t="s">
        <v>14</v>
      </c>
      <c r="E196" s="2">
        <v>45515</v>
      </c>
      <c r="F196" t="b">
        <v>0</v>
      </c>
      <c r="G196" t="s">
        <v>191</v>
      </c>
      <c r="H196">
        <v>115</v>
      </c>
      <c r="I196">
        <v>4</v>
      </c>
      <c r="J196">
        <v>2</v>
      </c>
      <c r="K196">
        <v>537</v>
      </c>
      <c r="L196">
        <v>1</v>
      </c>
    </row>
    <row r="197" spans="1:12">
      <c r="A197" t="s">
        <v>222</v>
      </c>
      <c r="B197" s="1">
        <v>45420</v>
      </c>
      <c r="C197" t="s">
        <v>13</v>
      </c>
      <c r="D197" s="9" t="s">
        <v>14</v>
      </c>
      <c r="E197" s="2">
        <v>45517</v>
      </c>
      <c r="F197" t="b">
        <v>1</v>
      </c>
      <c r="G197" t="s">
        <v>191</v>
      </c>
      <c r="H197">
        <v>115</v>
      </c>
      <c r="I197">
        <v>18</v>
      </c>
      <c r="J197">
        <v>3</v>
      </c>
      <c r="K197">
        <v>537</v>
      </c>
      <c r="L197">
        <v>1</v>
      </c>
    </row>
    <row r="198" spans="1:12">
      <c r="A198" t="s">
        <v>223</v>
      </c>
      <c r="B198" s="1">
        <v>45420</v>
      </c>
      <c r="C198" t="s">
        <v>33</v>
      </c>
      <c r="D198" s="9" t="s">
        <v>14</v>
      </c>
      <c r="E198" s="2">
        <v>45526</v>
      </c>
      <c r="F198" t="b">
        <v>1</v>
      </c>
      <c r="G198" t="s">
        <v>191</v>
      </c>
      <c r="H198">
        <v>115</v>
      </c>
      <c r="I198">
        <v>9</v>
      </c>
      <c r="J198">
        <v>1</v>
      </c>
      <c r="K198">
        <v>537</v>
      </c>
      <c r="L198">
        <v>1</v>
      </c>
    </row>
    <row r="199" spans="1:12">
      <c r="A199" t="s">
        <v>224</v>
      </c>
      <c r="B199" s="1">
        <v>45421</v>
      </c>
      <c r="C199" t="s">
        <v>37</v>
      </c>
      <c r="D199" s="9" t="s">
        <v>26</v>
      </c>
      <c r="E199" s="2">
        <v>45557</v>
      </c>
      <c r="F199" t="b">
        <v>0</v>
      </c>
      <c r="G199" t="s">
        <v>191</v>
      </c>
      <c r="H199">
        <v>114</v>
      </c>
      <c r="I199">
        <v>18</v>
      </c>
      <c r="J199">
        <v>1</v>
      </c>
      <c r="K199">
        <v>536</v>
      </c>
      <c r="L199">
        <v>1</v>
      </c>
    </row>
    <row r="200" spans="1:12">
      <c r="A200" t="s">
        <v>225</v>
      </c>
      <c r="B200" s="1">
        <v>45421</v>
      </c>
      <c r="C200" t="s">
        <v>24</v>
      </c>
      <c r="D200" s="9" t="s">
        <v>17</v>
      </c>
      <c r="E200" s="2">
        <v>45562</v>
      </c>
      <c r="F200" t="b">
        <v>0</v>
      </c>
      <c r="G200" t="s">
        <v>191</v>
      </c>
      <c r="H200">
        <v>114</v>
      </c>
      <c r="I200">
        <v>27</v>
      </c>
      <c r="J200">
        <v>4</v>
      </c>
      <c r="K200">
        <v>536</v>
      </c>
      <c r="L200">
        <v>1</v>
      </c>
    </row>
    <row r="201" spans="1:12">
      <c r="A201" t="s">
        <v>226</v>
      </c>
      <c r="B201" s="1">
        <v>45421</v>
      </c>
      <c r="C201" t="s">
        <v>51</v>
      </c>
      <c r="D201" s="9" t="s">
        <v>14</v>
      </c>
      <c r="E201" s="2">
        <v>45548</v>
      </c>
      <c r="F201" t="b">
        <v>0</v>
      </c>
      <c r="G201" t="s">
        <v>191</v>
      </c>
      <c r="H201">
        <v>114</v>
      </c>
      <c r="I201">
        <v>5</v>
      </c>
      <c r="J201">
        <v>4</v>
      </c>
      <c r="K201">
        <v>536</v>
      </c>
      <c r="L201">
        <v>1</v>
      </c>
    </row>
    <row r="202" spans="1:12">
      <c r="A202" t="s">
        <v>227</v>
      </c>
      <c r="B202" s="1">
        <v>45421</v>
      </c>
      <c r="C202" t="s">
        <v>19</v>
      </c>
      <c r="D202" s="9" t="s">
        <v>14</v>
      </c>
      <c r="E202" s="2">
        <v>45555</v>
      </c>
      <c r="F202" t="b">
        <v>0</v>
      </c>
      <c r="G202" t="s">
        <v>191</v>
      </c>
      <c r="H202">
        <v>114</v>
      </c>
      <c r="I202">
        <v>14</v>
      </c>
      <c r="J202">
        <v>6</v>
      </c>
      <c r="K202">
        <v>536</v>
      </c>
      <c r="L202">
        <v>1</v>
      </c>
    </row>
    <row r="203" spans="1:12">
      <c r="A203" t="s">
        <v>228</v>
      </c>
      <c r="B203" s="1">
        <v>45421</v>
      </c>
      <c r="C203" t="s">
        <v>19</v>
      </c>
      <c r="D203" s="9" t="s">
        <v>26</v>
      </c>
      <c r="E203" s="2">
        <v>45546</v>
      </c>
      <c r="F203" t="b">
        <v>1</v>
      </c>
      <c r="G203" t="s">
        <v>191</v>
      </c>
      <c r="H203">
        <v>114</v>
      </c>
      <c r="I203">
        <v>17</v>
      </c>
      <c r="J203">
        <v>1</v>
      </c>
      <c r="K203">
        <v>536</v>
      </c>
      <c r="L203">
        <v>1</v>
      </c>
    </row>
    <row r="204" spans="1:12">
      <c r="A204" t="s">
        <v>229</v>
      </c>
      <c r="B204" s="1">
        <v>45421</v>
      </c>
      <c r="C204" t="s">
        <v>37</v>
      </c>
      <c r="D204" s="9" t="s">
        <v>26</v>
      </c>
      <c r="E204" s="2">
        <v>45563</v>
      </c>
      <c r="F204" t="b">
        <v>0</v>
      </c>
      <c r="G204" t="s">
        <v>191</v>
      </c>
      <c r="H204">
        <v>114</v>
      </c>
      <c r="I204">
        <v>7</v>
      </c>
      <c r="J204">
        <v>2</v>
      </c>
      <c r="K204">
        <v>536</v>
      </c>
      <c r="L204">
        <v>1</v>
      </c>
    </row>
    <row r="205" spans="1:12">
      <c r="A205" t="s">
        <v>230</v>
      </c>
      <c r="B205" s="1">
        <v>45421</v>
      </c>
      <c r="C205" t="s">
        <v>30</v>
      </c>
      <c r="D205" s="9" t="s">
        <v>26</v>
      </c>
      <c r="E205" s="2">
        <v>45565</v>
      </c>
      <c r="F205" t="b">
        <v>1</v>
      </c>
      <c r="G205" t="s">
        <v>191</v>
      </c>
      <c r="H205">
        <v>114</v>
      </c>
      <c r="I205">
        <v>6</v>
      </c>
      <c r="J205">
        <v>1</v>
      </c>
      <c r="K205">
        <v>536</v>
      </c>
      <c r="L205">
        <v>1</v>
      </c>
    </row>
    <row r="206" spans="1:12">
      <c r="A206" t="s">
        <v>231</v>
      </c>
      <c r="B206" s="1">
        <v>45422</v>
      </c>
      <c r="C206" t="s">
        <v>24</v>
      </c>
      <c r="D206" s="9" t="s">
        <v>14</v>
      </c>
      <c r="E206" s="2">
        <v>45575</v>
      </c>
      <c r="F206" t="b">
        <v>0</v>
      </c>
      <c r="G206" t="s">
        <v>191</v>
      </c>
      <c r="H206">
        <v>113</v>
      </c>
      <c r="I206">
        <v>23</v>
      </c>
      <c r="J206">
        <v>0</v>
      </c>
      <c r="K206">
        <v>535</v>
      </c>
      <c r="L206">
        <v>1</v>
      </c>
    </row>
    <row r="207" spans="1:12">
      <c r="A207" t="s">
        <v>232</v>
      </c>
      <c r="B207" s="1">
        <v>45422</v>
      </c>
      <c r="C207" t="s">
        <v>19</v>
      </c>
      <c r="D207" s="9" t="s">
        <v>20</v>
      </c>
      <c r="E207" s="2">
        <v>45579</v>
      </c>
      <c r="F207" t="b">
        <v>0</v>
      </c>
      <c r="G207" t="s">
        <v>191</v>
      </c>
      <c r="H207">
        <v>113</v>
      </c>
      <c r="I207">
        <v>20</v>
      </c>
      <c r="J207">
        <v>2</v>
      </c>
      <c r="K207">
        <v>535</v>
      </c>
      <c r="L207">
        <v>1</v>
      </c>
    </row>
    <row r="208" spans="1:12">
      <c r="A208" t="s">
        <v>233</v>
      </c>
      <c r="B208" s="1">
        <v>45422</v>
      </c>
      <c r="C208" t="s">
        <v>19</v>
      </c>
      <c r="D208" s="9" t="s">
        <v>26</v>
      </c>
      <c r="E208" s="2">
        <v>45592</v>
      </c>
      <c r="F208" t="b">
        <v>1</v>
      </c>
      <c r="G208" t="s">
        <v>191</v>
      </c>
      <c r="H208">
        <v>113</v>
      </c>
      <c r="I208">
        <v>6</v>
      </c>
      <c r="J208">
        <v>1</v>
      </c>
      <c r="K208">
        <v>535</v>
      </c>
      <c r="L208">
        <v>1</v>
      </c>
    </row>
    <row r="209" spans="1:12">
      <c r="A209" t="s">
        <v>234</v>
      </c>
      <c r="B209" s="1">
        <v>45422</v>
      </c>
      <c r="C209" t="s">
        <v>13</v>
      </c>
      <c r="D209" s="9" t="s">
        <v>14</v>
      </c>
      <c r="E209" s="2">
        <v>45572</v>
      </c>
      <c r="F209" t="b">
        <v>0</v>
      </c>
      <c r="G209" t="s">
        <v>191</v>
      </c>
      <c r="H209">
        <v>113</v>
      </c>
      <c r="I209">
        <v>20</v>
      </c>
      <c r="J209">
        <v>3</v>
      </c>
      <c r="K209">
        <v>535</v>
      </c>
      <c r="L209">
        <v>1</v>
      </c>
    </row>
    <row r="210" spans="1:12">
      <c r="A210" t="s">
        <v>235</v>
      </c>
      <c r="B210" s="1">
        <v>45422</v>
      </c>
      <c r="C210" t="s">
        <v>51</v>
      </c>
      <c r="D210" s="9" t="s">
        <v>14</v>
      </c>
      <c r="E210" s="2">
        <v>45573</v>
      </c>
      <c r="F210" t="b">
        <v>0</v>
      </c>
      <c r="G210" t="s">
        <v>191</v>
      </c>
      <c r="H210">
        <v>113</v>
      </c>
      <c r="I210">
        <v>2</v>
      </c>
      <c r="J210">
        <v>1</v>
      </c>
      <c r="K210">
        <v>535</v>
      </c>
      <c r="L210">
        <v>1</v>
      </c>
    </row>
    <row r="211" spans="1:12">
      <c r="A211" t="s">
        <v>236</v>
      </c>
      <c r="B211" s="1">
        <v>45422</v>
      </c>
      <c r="C211" t="s">
        <v>37</v>
      </c>
      <c r="D211" s="9" t="s">
        <v>20</v>
      </c>
      <c r="E211" s="2">
        <v>45588</v>
      </c>
      <c r="F211" t="b">
        <v>0</v>
      </c>
      <c r="G211" t="s">
        <v>191</v>
      </c>
      <c r="H211">
        <v>113</v>
      </c>
      <c r="I211">
        <v>29</v>
      </c>
      <c r="J211">
        <v>5</v>
      </c>
      <c r="K211">
        <v>535</v>
      </c>
      <c r="L211">
        <v>1</v>
      </c>
    </row>
    <row r="212" spans="1:12">
      <c r="A212" t="s">
        <v>237</v>
      </c>
      <c r="B212" s="1">
        <v>45423</v>
      </c>
      <c r="C212" t="s">
        <v>13</v>
      </c>
      <c r="D212" s="9" t="s">
        <v>14</v>
      </c>
      <c r="E212" s="2">
        <v>45611</v>
      </c>
      <c r="F212" t="b">
        <v>0</v>
      </c>
      <c r="G212" t="s">
        <v>191</v>
      </c>
      <c r="H212">
        <v>112</v>
      </c>
      <c r="I212">
        <v>24</v>
      </c>
      <c r="J212">
        <v>1</v>
      </c>
      <c r="K212">
        <v>534</v>
      </c>
      <c r="L212">
        <v>1</v>
      </c>
    </row>
    <row r="213" spans="1:12">
      <c r="A213" t="s">
        <v>238</v>
      </c>
      <c r="B213" s="1">
        <v>45423</v>
      </c>
      <c r="C213" t="s">
        <v>24</v>
      </c>
      <c r="D213" s="9" t="s">
        <v>17</v>
      </c>
      <c r="E213" s="2">
        <v>45615</v>
      </c>
      <c r="F213" t="b">
        <v>1</v>
      </c>
      <c r="G213" t="s">
        <v>191</v>
      </c>
      <c r="H213">
        <v>112</v>
      </c>
      <c r="I213">
        <v>16</v>
      </c>
      <c r="J213">
        <v>7</v>
      </c>
      <c r="K213">
        <v>534</v>
      </c>
      <c r="L213">
        <v>1</v>
      </c>
    </row>
    <row r="214" spans="1:12">
      <c r="A214" t="s">
        <v>239</v>
      </c>
      <c r="B214" s="1">
        <v>45423</v>
      </c>
      <c r="C214" t="s">
        <v>30</v>
      </c>
      <c r="D214" s="9" t="s">
        <v>26</v>
      </c>
      <c r="E214" s="2">
        <v>45625</v>
      </c>
      <c r="F214" t="b">
        <v>1</v>
      </c>
      <c r="G214" t="s">
        <v>191</v>
      </c>
      <c r="H214">
        <v>112</v>
      </c>
      <c r="I214">
        <v>16</v>
      </c>
      <c r="J214">
        <v>10</v>
      </c>
      <c r="K214">
        <v>534</v>
      </c>
      <c r="L214">
        <v>0</v>
      </c>
    </row>
    <row r="215" spans="1:12">
      <c r="A215" t="s">
        <v>240</v>
      </c>
      <c r="B215" s="1">
        <v>45424</v>
      </c>
      <c r="C215" t="s">
        <v>33</v>
      </c>
      <c r="D215" s="9" t="s">
        <v>14</v>
      </c>
      <c r="E215" s="2">
        <v>45643</v>
      </c>
      <c r="F215" t="b">
        <v>0</v>
      </c>
      <c r="G215" t="s">
        <v>191</v>
      </c>
      <c r="H215">
        <v>111</v>
      </c>
      <c r="I215">
        <v>18</v>
      </c>
      <c r="J215">
        <v>1</v>
      </c>
      <c r="K215">
        <v>533</v>
      </c>
      <c r="L215">
        <v>1</v>
      </c>
    </row>
    <row r="216" spans="1:12">
      <c r="A216" t="s">
        <v>241</v>
      </c>
      <c r="B216" s="1">
        <v>45424</v>
      </c>
      <c r="C216" t="s">
        <v>37</v>
      </c>
      <c r="D216" s="9" t="s">
        <v>14</v>
      </c>
      <c r="E216" s="2">
        <v>45634</v>
      </c>
      <c r="F216" t="b">
        <v>0</v>
      </c>
      <c r="G216" t="s">
        <v>191</v>
      </c>
      <c r="H216">
        <v>111</v>
      </c>
      <c r="I216">
        <v>26</v>
      </c>
      <c r="J216">
        <v>1</v>
      </c>
      <c r="K216">
        <v>533</v>
      </c>
      <c r="L216">
        <v>1</v>
      </c>
    </row>
    <row r="217" spans="1:12">
      <c r="A217" t="s">
        <v>242</v>
      </c>
      <c r="B217" s="1">
        <v>45424</v>
      </c>
      <c r="C217" t="s">
        <v>13</v>
      </c>
      <c r="D217" s="9" t="s">
        <v>26</v>
      </c>
      <c r="E217" s="2">
        <v>45657</v>
      </c>
      <c r="F217" t="b">
        <v>1</v>
      </c>
      <c r="G217" t="s">
        <v>191</v>
      </c>
      <c r="H217">
        <v>111</v>
      </c>
      <c r="I217">
        <v>30</v>
      </c>
      <c r="J217">
        <v>3</v>
      </c>
      <c r="K217">
        <v>533</v>
      </c>
      <c r="L217">
        <v>1</v>
      </c>
    </row>
    <row r="218" spans="1:12">
      <c r="A218" t="s">
        <v>243</v>
      </c>
      <c r="B218" s="1">
        <v>45424</v>
      </c>
      <c r="C218" t="s">
        <v>37</v>
      </c>
      <c r="D218" s="9" t="s">
        <v>14</v>
      </c>
      <c r="E218" s="2">
        <v>45645</v>
      </c>
      <c r="F218" t="b">
        <v>0</v>
      </c>
      <c r="G218" t="s">
        <v>191</v>
      </c>
      <c r="H218">
        <v>111</v>
      </c>
      <c r="I218">
        <v>11</v>
      </c>
      <c r="J218">
        <v>2</v>
      </c>
      <c r="K218">
        <v>533</v>
      </c>
      <c r="L218">
        <v>1</v>
      </c>
    </row>
    <row r="219" spans="1:12">
      <c r="A219" t="s">
        <v>244</v>
      </c>
      <c r="B219" s="1">
        <v>45424</v>
      </c>
      <c r="C219" t="s">
        <v>24</v>
      </c>
      <c r="D219" s="9" t="s">
        <v>14</v>
      </c>
      <c r="E219" s="2">
        <v>45656</v>
      </c>
      <c r="F219" t="b">
        <v>1</v>
      </c>
      <c r="G219" t="s">
        <v>191</v>
      </c>
      <c r="H219">
        <v>111</v>
      </c>
      <c r="I219">
        <v>9</v>
      </c>
      <c r="J219">
        <v>1</v>
      </c>
      <c r="K219">
        <v>533</v>
      </c>
      <c r="L219">
        <v>1</v>
      </c>
    </row>
    <row r="220" spans="1:12">
      <c r="A220" t="s">
        <v>245</v>
      </c>
      <c r="B220" s="1">
        <v>45446.813194444447</v>
      </c>
      <c r="C220" t="s">
        <v>30</v>
      </c>
      <c r="D220" s="9" t="s">
        <v>14</v>
      </c>
      <c r="E220" s="2">
        <v>45533</v>
      </c>
      <c r="F220" t="b">
        <v>1</v>
      </c>
      <c r="G220" t="s">
        <v>191</v>
      </c>
      <c r="H220">
        <v>110</v>
      </c>
      <c r="I220">
        <v>2</v>
      </c>
      <c r="J220">
        <v>1</v>
      </c>
      <c r="K220">
        <v>611</v>
      </c>
      <c r="L220">
        <v>2</v>
      </c>
    </row>
    <row r="221" spans="1:12">
      <c r="A221" t="s">
        <v>246</v>
      </c>
      <c r="B221" s="1">
        <v>45490.647916666669</v>
      </c>
      <c r="C221" t="s">
        <v>51</v>
      </c>
      <c r="D221" s="9" t="s">
        <v>14</v>
      </c>
      <c r="E221" s="2">
        <v>45534</v>
      </c>
      <c r="F221" t="b">
        <v>1</v>
      </c>
      <c r="G221" t="s">
        <v>191</v>
      </c>
      <c r="H221">
        <v>110</v>
      </c>
      <c r="I221">
        <v>1</v>
      </c>
      <c r="J221">
        <v>1</v>
      </c>
      <c r="K221">
        <v>354</v>
      </c>
      <c r="L221">
        <v>2</v>
      </c>
    </row>
    <row r="222" spans="1:12">
      <c r="A222" t="s">
        <v>247</v>
      </c>
      <c r="B222" s="1">
        <v>45504.679166666669</v>
      </c>
      <c r="C222" t="s">
        <v>13</v>
      </c>
      <c r="D222" s="9" t="s">
        <v>26</v>
      </c>
      <c r="E222" s="2">
        <v>45534</v>
      </c>
      <c r="F222" t="b">
        <v>1</v>
      </c>
      <c r="G222" t="s">
        <v>191</v>
      </c>
      <c r="H222">
        <v>109</v>
      </c>
      <c r="I222">
        <v>1</v>
      </c>
      <c r="J222">
        <v>3</v>
      </c>
      <c r="K222">
        <v>490</v>
      </c>
      <c r="L222">
        <v>2</v>
      </c>
    </row>
    <row r="223" spans="1:12">
      <c r="A223" t="s">
        <v>248</v>
      </c>
      <c r="B223" s="1">
        <v>45536</v>
      </c>
      <c r="C223" t="s">
        <v>30</v>
      </c>
      <c r="D223" s="9" t="s">
        <v>17</v>
      </c>
      <c r="E223" s="2">
        <v>45531</v>
      </c>
      <c r="F223" t="b">
        <v>1</v>
      </c>
      <c r="G223" t="s">
        <v>191</v>
      </c>
      <c r="H223">
        <v>109</v>
      </c>
      <c r="I223">
        <v>4</v>
      </c>
      <c r="J223">
        <v>13</v>
      </c>
      <c r="K223">
        <v>421</v>
      </c>
      <c r="L223">
        <v>0</v>
      </c>
    </row>
    <row r="224" spans="1:12">
      <c r="A224" t="s">
        <v>249</v>
      </c>
      <c r="B224" s="1">
        <v>45389</v>
      </c>
      <c r="C224" t="s">
        <v>37</v>
      </c>
      <c r="D224" s="9" t="s">
        <v>14</v>
      </c>
      <c r="E224" s="2">
        <v>45531</v>
      </c>
      <c r="F224" t="b">
        <v>1</v>
      </c>
      <c r="G224" t="s">
        <v>191</v>
      </c>
      <c r="H224">
        <v>109</v>
      </c>
      <c r="I224">
        <v>4</v>
      </c>
      <c r="J224">
        <v>2</v>
      </c>
      <c r="K224">
        <v>568</v>
      </c>
      <c r="L224">
        <v>1</v>
      </c>
    </row>
    <row r="225" spans="1:12">
      <c r="A225" t="s">
        <v>250</v>
      </c>
      <c r="B225" s="1">
        <v>45421.316666666666</v>
      </c>
      <c r="C225" t="s">
        <v>19</v>
      </c>
      <c r="D225" s="9" t="s">
        <v>14</v>
      </c>
      <c r="E225" s="2">
        <v>45509</v>
      </c>
      <c r="F225" t="b">
        <v>0</v>
      </c>
      <c r="G225" t="s">
        <v>191</v>
      </c>
      <c r="H225">
        <v>108</v>
      </c>
      <c r="I225">
        <v>27</v>
      </c>
      <c r="J225">
        <v>1</v>
      </c>
      <c r="K225">
        <v>418</v>
      </c>
      <c r="L225">
        <v>2</v>
      </c>
    </row>
    <row r="226" spans="1:12">
      <c r="A226" t="s">
        <v>251</v>
      </c>
      <c r="B226" s="1">
        <v>45587.604166666664</v>
      </c>
      <c r="C226" t="s">
        <v>22</v>
      </c>
      <c r="D226" s="9" t="s">
        <v>14</v>
      </c>
      <c r="E226" s="2">
        <v>45505</v>
      </c>
      <c r="F226" t="b">
        <v>0</v>
      </c>
      <c r="G226" t="s">
        <v>191</v>
      </c>
      <c r="H226">
        <v>108</v>
      </c>
      <c r="I226">
        <v>15</v>
      </c>
      <c r="J226">
        <v>3</v>
      </c>
      <c r="K226">
        <v>338</v>
      </c>
      <c r="L226">
        <v>2</v>
      </c>
    </row>
    <row r="227" spans="1:12">
      <c r="A227" t="s">
        <v>252</v>
      </c>
      <c r="B227" s="1">
        <v>45353</v>
      </c>
      <c r="C227" t="s">
        <v>33</v>
      </c>
      <c r="D227" s="9" t="s">
        <v>26</v>
      </c>
      <c r="E227" s="2">
        <v>45510</v>
      </c>
      <c r="F227" t="b">
        <v>0</v>
      </c>
      <c r="G227" t="s">
        <v>191</v>
      </c>
      <c r="H227">
        <v>108</v>
      </c>
      <c r="I227">
        <v>28</v>
      </c>
      <c r="J227">
        <v>8</v>
      </c>
      <c r="K227">
        <v>604</v>
      </c>
      <c r="L227">
        <v>1</v>
      </c>
    </row>
    <row r="228" spans="1:12">
      <c r="A228" t="s">
        <v>253</v>
      </c>
      <c r="B228" s="1">
        <v>45515.082638888889</v>
      </c>
      <c r="C228" t="s">
        <v>13</v>
      </c>
      <c r="D228" s="9" t="s">
        <v>14</v>
      </c>
      <c r="E228" s="2">
        <v>45529</v>
      </c>
      <c r="F228" t="b">
        <v>0</v>
      </c>
      <c r="G228" t="s">
        <v>191</v>
      </c>
      <c r="H228">
        <v>107</v>
      </c>
      <c r="I228">
        <v>25</v>
      </c>
      <c r="J228">
        <v>2</v>
      </c>
      <c r="K228">
        <v>542</v>
      </c>
      <c r="L228">
        <v>2</v>
      </c>
    </row>
    <row r="229" spans="1:12">
      <c r="A229" t="s">
        <v>254</v>
      </c>
      <c r="B229" s="1">
        <v>45455</v>
      </c>
      <c r="C229" t="s">
        <v>30</v>
      </c>
      <c r="D229" s="9" t="s">
        <v>26</v>
      </c>
      <c r="E229" s="2">
        <v>45507</v>
      </c>
      <c r="F229" t="b">
        <v>1</v>
      </c>
      <c r="G229" t="s">
        <v>191</v>
      </c>
      <c r="H229">
        <v>107</v>
      </c>
      <c r="I229">
        <v>28</v>
      </c>
      <c r="J229">
        <v>4</v>
      </c>
      <c r="K229">
        <v>502</v>
      </c>
      <c r="L229">
        <v>1</v>
      </c>
    </row>
    <row r="230" spans="1:12">
      <c r="A230" t="s">
        <v>255</v>
      </c>
      <c r="B230" s="1">
        <v>45532.160416666666</v>
      </c>
      <c r="C230" t="s">
        <v>37</v>
      </c>
      <c r="D230" s="9" t="s">
        <v>26</v>
      </c>
      <c r="E230" s="2">
        <v>45510</v>
      </c>
      <c r="F230" t="b">
        <v>0</v>
      </c>
      <c r="G230" t="s">
        <v>191</v>
      </c>
      <c r="H230">
        <v>106</v>
      </c>
      <c r="I230">
        <v>8</v>
      </c>
      <c r="J230">
        <v>1</v>
      </c>
      <c r="K230">
        <v>598</v>
      </c>
      <c r="L230">
        <v>2</v>
      </c>
    </row>
    <row r="231" spans="1:12">
      <c r="A231" t="s">
        <v>256</v>
      </c>
      <c r="B231" s="1">
        <v>45409.922222222223</v>
      </c>
      <c r="C231" t="s">
        <v>37</v>
      </c>
      <c r="D231" s="9" t="s">
        <v>17</v>
      </c>
      <c r="E231" s="2">
        <v>45521</v>
      </c>
      <c r="F231" t="b">
        <v>1</v>
      </c>
      <c r="G231" t="s">
        <v>191</v>
      </c>
      <c r="H231">
        <v>106</v>
      </c>
      <c r="I231">
        <v>14</v>
      </c>
      <c r="J231">
        <v>14</v>
      </c>
      <c r="K231">
        <v>614</v>
      </c>
      <c r="L231">
        <v>0</v>
      </c>
    </row>
    <row r="232" spans="1:12">
      <c r="A232" t="s">
        <v>257</v>
      </c>
      <c r="B232" s="1">
        <v>45510</v>
      </c>
      <c r="C232" t="s">
        <v>19</v>
      </c>
      <c r="D232" s="9" t="s">
        <v>20</v>
      </c>
      <c r="E232" s="2">
        <v>45520</v>
      </c>
      <c r="F232" t="b">
        <v>1</v>
      </c>
      <c r="G232" t="s">
        <v>191</v>
      </c>
      <c r="H232">
        <v>106</v>
      </c>
      <c r="I232">
        <v>15</v>
      </c>
      <c r="J232">
        <v>3</v>
      </c>
      <c r="K232">
        <v>447</v>
      </c>
      <c r="L232">
        <v>1</v>
      </c>
    </row>
    <row r="233" spans="1:12">
      <c r="A233" t="s">
        <v>258</v>
      </c>
      <c r="B233" s="1">
        <v>45387</v>
      </c>
      <c r="C233" t="s">
        <v>13</v>
      </c>
      <c r="D233" s="9" t="s">
        <v>14</v>
      </c>
      <c r="E233" s="2">
        <v>45524</v>
      </c>
      <c r="F233" t="b">
        <v>0</v>
      </c>
      <c r="G233" t="s">
        <v>191</v>
      </c>
      <c r="H233">
        <v>106</v>
      </c>
      <c r="I233">
        <v>27</v>
      </c>
      <c r="J233">
        <v>1</v>
      </c>
      <c r="K233">
        <v>570</v>
      </c>
      <c r="L233">
        <v>1</v>
      </c>
    </row>
    <row r="234" spans="1:12">
      <c r="A234" t="s">
        <v>259</v>
      </c>
      <c r="B234" s="1">
        <v>45479</v>
      </c>
      <c r="C234" t="s">
        <v>30</v>
      </c>
      <c r="D234" s="9" t="s">
        <v>26</v>
      </c>
      <c r="E234" s="2">
        <v>45534</v>
      </c>
      <c r="F234" t="b">
        <v>1</v>
      </c>
      <c r="G234" t="s">
        <v>191</v>
      </c>
      <c r="H234">
        <v>105</v>
      </c>
      <c r="I234">
        <v>1</v>
      </c>
      <c r="J234">
        <v>2</v>
      </c>
      <c r="K234">
        <v>478</v>
      </c>
      <c r="L234">
        <v>1</v>
      </c>
    </row>
    <row r="235" spans="1:12">
      <c r="A235" t="s">
        <v>260</v>
      </c>
      <c r="B235" s="1">
        <v>45631</v>
      </c>
      <c r="C235" t="s">
        <v>13</v>
      </c>
      <c r="D235" s="9" t="s">
        <v>14</v>
      </c>
      <c r="E235" s="2">
        <v>45524</v>
      </c>
      <c r="F235" t="b">
        <v>0</v>
      </c>
      <c r="G235" t="s">
        <v>191</v>
      </c>
      <c r="H235">
        <v>105</v>
      </c>
      <c r="I235">
        <v>4</v>
      </c>
      <c r="J235">
        <v>3</v>
      </c>
      <c r="K235">
        <v>326</v>
      </c>
      <c r="L235">
        <v>1</v>
      </c>
    </row>
    <row r="236" spans="1:12">
      <c r="A236" t="s">
        <v>261</v>
      </c>
      <c r="B236" s="1">
        <v>45556.441666666666</v>
      </c>
      <c r="C236" t="s">
        <v>51</v>
      </c>
      <c r="D236" s="9" t="s">
        <v>20</v>
      </c>
      <c r="E236" s="2">
        <v>45518</v>
      </c>
      <c r="F236" t="b">
        <v>0</v>
      </c>
      <c r="G236" t="s">
        <v>191</v>
      </c>
      <c r="H236">
        <v>105</v>
      </c>
      <c r="I236">
        <v>12</v>
      </c>
      <c r="J236">
        <v>5</v>
      </c>
      <c r="K236">
        <v>578</v>
      </c>
      <c r="L236">
        <v>2</v>
      </c>
    </row>
    <row r="237" spans="1:12">
      <c r="A237" t="s">
        <v>262</v>
      </c>
      <c r="B237" s="1">
        <v>45630.140972222223</v>
      </c>
      <c r="C237" t="s">
        <v>13</v>
      </c>
      <c r="D237" s="9" t="s">
        <v>14</v>
      </c>
      <c r="E237" s="2">
        <v>45530</v>
      </c>
      <c r="F237" t="b">
        <v>1</v>
      </c>
      <c r="G237" t="s">
        <v>191</v>
      </c>
      <c r="H237">
        <v>105</v>
      </c>
      <c r="I237">
        <v>5</v>
      </c>
      <c r="J237">
        <v>3</v>
      </c>
      <c r="K237">
        <v>635</v>
      </c>
      <c r="L237">
        <v>2</v>
      </c>
    </row>
    <row r="238" spans="1:12">
      <c r="A238" t="s">
        <v>263</v>
      </c>
      <c r="B238" s="1">
        <v>45355</v>
      </c>
      <c r="C238" t="s">
        <v>13</v>
      </c>
      <c r="D238" s="9" t="s">
        <v>20</v>
      </c>
      <c r="E238" s="2">
        <v>45513</v>
      </c>
      <c r="F238" t="b">
        <v>1</v>
      </c>
      <c r="G238" t="s">
        <v>191</v>
      </c>
      <c r="H238">
        <v>104</v>
      </c>
      <c r="I238">
        <v>22</v>
      </c>
      <c r="J238">
        <v>3</v>
      </c>
      <c r="K238">
        <v>602</v>
      </c>
      <c r="L238">
        <v>1</v>
      </c>
    </row>
    <row r="239" spans="1:12">
      <c r="A239" t="s">
        <v>264</v>
      </c>
      <c r="B239" s="1">
        <v>45539.980555555558</v>
      </c>
      <c r="C239" t="s">
        <v>33</v>
      </c>
      <c r="D239" s="9" t="s">
        <v>14</v>
      </c>
      <c r="E239" s="2">
        <v>45522</v>
      </c>
      <c r="F239" t="b">
        <v>0</v>
      </c>
      <c r="G239" t="s">
        <v>191</v>
      </c>
      <c r="H239">
        <v>104</v>
      </c>
      <c r="I239">
        <v>14</v>
      </c>
      <c r="J239">
        <v>3</v>
      </c>
      <c r="K239">
        <v>358</v>
      </c>
      <c r="L239">
        <v>2</v>
      </c>
    </row>
    <row r="240" spans="1:12">
      <c r="A240" t="s">
        <v>265</v>
      </c>
      <c r="B240" s="1">
        <v>45319.040972222225</v>
      </c>
      <c r="C240" t="s">
        <v>22</v>
      </c>
      <c r="D240" s="9" t="s">
        <v>26</v>
      </c>
      <c r="E240" s="2">
        <v>45511</v>
      </c>
      <c r="F240" t="b">
        <v>1</v>
      </c>
      <c r="G240" t="s">
        <v>191</v>
      </c>
      <c r="H240">
        <v>102</v>
      </c>
      <c r="I240">
        <v>24</v>
      </c>
      <c r="J240">
        <v>2</v>
      </c>
      <c r="K240">
        <v>577</v>
      </c>
      <c r="L240">
        <v>2</v>
      </c>
    </row>
    <row r="241" spans="1:12">
      <c r="A241" t="s">
        <v>266</v>
      </c>
      <c r="B241" s="1">
        <v>45491.356944444444</v>
      </c>
      <c r="C241" t="s">
        <v>33</v>
      </c>
      <c r="D241" s="9" t="s">
        <v>14</v>
      </c>
      <c r="E241" s="2">
        <v>45519</v>
      </c>
      <c r="F241" t="b">
        <v>0</v>
      </c>
      <c r="G241" t="s">
        <v>191</v>
      </c>
      <c r="H241">
        <v>102</v>
      </c>
      <c r="I241">
        <v>20</v>
      </c>
      <c r="J241">
        <v>3</v>
      </c>
      <c r="K241">
        <v>452</v>
      </c>
      <c r="L241">
        <v>2</v>
      </c>
    </row>
    <row r="242" spans="1:12">
      <c r="A242" t="s">
        <v>267</v>
      </c>
      <c r="B242" s="1">
        <v>45358.399305555555</v>
      </c>
      <c r="C242" t="s">
        <v>37</v>
      </c>
      <c r="D242" s="9" t="s">
        <v>20</v>
      </c>
      <c r="E242" s="2">
        <v>45512</v>
      </c>
      <c r="F242" t="b">
        <v>1</v>
      </c>
      <c r="G242" t="s">
        <v>191</v>
      </c>
      <c r="H242">
        <v>102</v>
      </c>
      <c r="I242">
        <v>23</v>
      </c>
      <c r="J242">
        <v>2</v>
      </c>
      <c r="K242">
        <v>411</v>
      </c>
      <c r="L242">
        <v>2</v>
      </c>
    </row>
    <row r="243" spans="1:12">
      <c r="A243" t="s">
        <v>268</v>
      </c>
      <c r="B243" s="1">
        <v>45327</v>
      </c>
      <c r="C243" t="s">
        <v>24</v>
      </c>
      <c r="D243" s="9" t="s">
        <v>26</v>
      </c>
      <c r="E243" s="2">
        <v>45512</v>
      </c>
      <c r="F243" t="b">
        <v>0</v>
      </c>
      <c r="G243" t="s">
        <v>191</v>
      </c>
      <c r="H243">
        <v>102</v>
      </c>
      <c r="I243">
        <v>25</v>
      </c>
      <c r="J243">
        <v>2</v>
      </c>
      <c r="K243">
        <v>630</v>
      </c>
      <c r="L243">
        <v>1</v>
      </c>
    </row>
    <row r="244" spans="1:12">
      <c r="A244" t="s">
        <v>269</v>
      </c>
      <c r="B244" s="1">
        <v>45421</v>
      </c>
      <c r="C244" t="s">
        <v>13</v>
      </c>
      <c r="D244" s="9" t="s">
        <v>20</v>
      </c>
      <c r="E244" s="2">
        <v>45515</v>
      </c>
      <c r="F244" t="b">
        <v>1</v>
      </c>
      <c r="G244" t="s">
        <v>191</v>
      </c>
      <c r="H244">
        <v>102</v>
      </c>
      <c r="I244">
        <v>20</v>
      </c>
      <c r="J244">
        <v>10</v>
      </c>
      <c r="K244">
        <v>536</v>
      </c>
      <c r="L244">
        <v>0</v>
      </c>
    </row>
    <row r="245" spans="1:12">
      <c r="A245" t="s">
        <v>270</v>
      </c>
      <c r="B245" s="1">
        <v>45553.220833333333</v>
      </c>
      <c r="C245" t="s">
        <v>51</v>
      </c>
      <c r="D245" s="9" t="s">
        <v>14</v>
      </c>
      <c r="E245" s="2">
        <v>45505</v>
      </c>
      <c r="F245" t="b">
        <v>0</v>
      </c>
      <c r="G245" t="s">
        <v>191</v>
      </c>
      <c r="H245">
        <v>101</v>
      </c>
      <c r="I245">
        <v>28</v>
      </c>
      <c r="J245">
        <v>1</v>
      </c>
      <c r="K245">
        <v>638</v>
      </c>
      <c r="L245">
        <v>2</v>
      </c>
    </row>
    <row r="246" spans="1:12">
      <c r="A246" t="s">
        <v>271</v>
      </c>
      <c r="B246" s="1">
        <v>45627</v>
      </c>
      <c r="C246" t="s">
        <v>33</v>
      </c>
      <c r="D246" s="9" t="s">
        <v>14</v>
      </c>
      <c r="E246" s="2">
        <v>45508</v>
      </c>
      <c r="F246" t="b">
        <v>1</v>
      </c>
      <c r="G246" t="s">
        <v>191</v>
      </c>
      <c r="H246">
        <v>101</v>
      </c>
      <c r="I246">
        <v>27</v>
      </c>
      <c r="J246">
        <v>1</v>
      </c>
      <c r="K246">
        <v>330</v>
      </c>
      <c r="L246">
        <v>1</v>
      </c>
    </row>
    <row r="247" spans="1:12">
      <c r="A247" t="s">
        <v>272</v>
      </c>
      <c r="B247" s="1">
        <v>45537</v>
      </c>
      <c r="C247" t="s">
        <v>51</v>
      </c>
      <c r="D247" s="9" t="s">
        <v>26</v>
      </c>
      <c r="E247" s="2">
        <v>45515</v>
      </c>
      <c r="F247" t="b">
        <v>1</v>
      </c>
      <c r="G247" t="s">
        <v>191</v>
      </c>
      <c r="H247">
        <v>101</v>
      </c>
      <c r="I247">
        <v>20</v>
      </c>
      <c r="J247">
        <v>2</v>
      </c>
      <c r="K247">
        <v>420</v>
      </c>
      <c r="L247">
        <v>1</v>
      </c>
    </row>
    <row r="248" spans="1:12">
      <c r="A248" t="s">
        <v>273</v>
      </c>
      <c r="B248" s="1">
        <v>45568.294444444444</v>
      </c>
      <c r="C248" t="s">
        <v>13</v>
      </c>
      <c r="D248" s="9" t="s">
        <v>14</v>
      </c>
      <c r="E248" s="2">
        <v>45515</v>
      </c>
      <c r="F248" t="b">
        <v>0</v>
      </c>
      <c r="G248" t="s">
        <v>191</v>
      </c>
      <c r="H248">
        <v>101</v>
      </c>
      <c r="I248">
        <v>29</v>
      </c>
      <c r="J248">
        <v>1</v>
      </c>
      <c r="K248">
        <v>542</v>
      </c>
      <c r="L248">
        <v>2</v>
      </c>
    </row>
    <row r="249" spans="1:12">
      <c r="A249" t="s">
        <v>274</v>
      </c>
      <c r="B249" s="1">
        <v>45346.746527777781</v>
      </c>
      <c r="C249" t="s">
        <v>13</v>
      </c>
      <c r="D249" s="9" t="s">
        <v>14</v>
      </c>
      <c r="E249" s="2">
        <v>45509</v>
      </c>
      <c r="F249" t="b">
        <v>0</v>
      </c>
      <c r="G249" t="s">
        <v>191</v>
      </c>
      <c r="H249">
        <v>101</v>
      </c>
      <c r="I249">
        <v>24</v>
      </c>
      <c r="J249">
        <v>1</v>
      </c>
      <c r="K249">
        <v>415</v>
      </c>
      <c r="L249">
        <v>2</v>
      </c>
    </row>
    <row r="250" spans="1:12">
      <c r="A250" t="s">
        <v>275</v>
      </c>
      <c r="B250" s="1">
        <v>45363</v>
      </c>
      <c r="C250" t="s">
        <v>13</v>
      </c>
      <c r="D250" s="9" t="s">
        <v>14</v>
      </c>
      <c r="E250" s="2">
        <v>45524</v>
      </c>
      <c r="F250" t="b">
        <v>0</v>
      </c>
      <c r="G250" t="s">
        <v>191</v>
      </c>
      <c r="H250">
        <v>100</v>
      </c>
      <c r="I250">
        <v>10</v>
      </c>
      <c r="J250">
        <v>2</v>
      </c>
      <c r="K250">
        <v>594</v>
      </c>
      <c r="L250">
        <v>1</v>
      </c>
    </row>
    <row r="251" spans="1:12">
      <c r="A251" t="s">
        <v>276</v>
      </c>
      <c r="B251" s="1">
        <v>45326.384027777778</v>
      </c>
      <c r="C251" t="s">
        <v>30</v>
      </c>
      <c r="D251" s="9" t="s">
        <v>17</v>
      </c>
      <c r="E251" s="2">
        <v>45527</v>
      </c>
      <c r="F251" t="b">
        <v>1</v>
      </c>
      <c r="G251" t="s">
        <v>191</v>
      </c>
      <c r="H251">
        <v>100</v>
      </c>
      <c r="I251">
        <v>8</v>
      </c>
      <c r="J251">
        <v>13</v>
      </c>
      <c r="K251">
        <v>599</v>
      </c>
      <c r="L251">
        <v>0</v>
      </c>
    </row>
    <row r="252" spans="1:12">
      <c r="A252" t="s">
        <v>277</v>
      </c>
      <c r="B252" s="1">
        <v>45631.388194444444</v>
      </c>
      <c r="C252" t="s">
        <v>30</v>
      </c>
      <c r="D252" s="9" t="s">
        <v>20</v>
      </c>
      <c r="E252" s="2">
        <v>45514</v>
      </c>
      <c r="F252" t="b">
        <v>1</v>
      </c>
      <c r="G252" t="s">
        <v>191</v>
      </c>
      <c r="H252">
        <v>99</v>
      </c>
      <c r="I252">
        <v>21</v>
      </c>
      <c r="J252">
        <v>1</v>
      </c>
      <c r="K252">
        <v>446</v>
      </c>
      <c r="L252">
        <v>2</v>
      </c>
    </row>
    <row r="253" spans="1:12">
      <c r="A253" t="s">
        <v>278</v>
      </c>
      <c r="B253" s="1">
        <v>45510</v>
      </c>
      <c r="C253" t="s">
        <v>19</v>
      </c>
      <c r="D253" s="9" t="s">
        <v>14</v>
      </c>
      <c r="E253" s="2">
        <v>45518</v>
      </c>
      <c r="F253" t="b">
        <v>0</v>
      </c>
      <c r="G253" t="s">
        <v>191</v>
      </c>
      <c r="H253">
        <v>99</v>
      </c>
      <c r="I253">
        <v>9</v>
      </c>
      <c r="J253">
        <v>1</v>
      </c>
      <c r="K253">
        <v>447</v>
      </c>
      <c r="L253">
        <v>1</v>
      </c>
    </row>
    <row r="254" spans="1:12">
      <c r="A254" t="s">
        <v>279</v>
      </c>
      <c r="B254" s="1">
        <v>45539.833333333336</v>
      </c>
      <c r="C254" t="s">
        <v>13</v>
      </c>
      <c r="D254" s="9" t="s">
        <v>20</v>
      </c>
      <c r="E254" s="2">
        <v>45506</v>
      </c>
      <c r="F254" t="b">
        <v>1</v>
      </c>
      <c r="G254" t="s">
        <v>191</v>
      </c>
      <c r="H254">
        <v>99</v>
      </c>
      <c r="I254">
        <v>29</v>
      </c>
      <c r="J254">
        <v>5</v>
      </c>
      <c r="K254">
        <v>341</v>
      </c>
      <c r="L254">
        <v>2</v>
      </c>
    </row>
    <row r="255" spans="1:12">
      <c r="A255" t="s">
        <v>280</v>
      </c>
      <c r="B255" s="1">
        <v>45571</v>
      </c>
      <c r="C255" t="s">
        <v>13</v>
      </c>
      <c r="D255" s="9" t="s">
        <v>14</v>
      </c>
      <c r="E255" s="2">
        <v>45522</v>
      </c>
      <c r="F255" t="b">
        <v>0</v>
      </c>
      <c r="G255" t="s">
        <v>191</v>
      </c>
      <c r="H255">
        <v>99</v>
      </c>
      <c r="I255">
        <v>1</v>
      </c>
      <c r="J255">
        <v>0</v>
      </c>
      <c r="K255">
        <v>386</v>
      </c>
      <c r="L255">
        <v>1</v>
      </c>
    </row>
    <row r="256" spans="1:12">
      <c r="A256" t="s">
        <v>281</v>
      </c>
      <c r="B256" s="1">
        <v>45451.590277777781</v>
      </c>
      <c r="C256" t="s">
        <v>13</v>
      </c>
      <c r="D256" s="9" t="s">
        <v>20</v>
      </c>
      <c r="E256" s="2">
        <v>45518</v>
      </c>
      <c r="F256" t="b">
        <v>1</v>
      </c>
      <c r="G256" t="s">
        <v>191</v>
      </c>
      <c r="H256">
        <v>98</v>
      </c>
      <c r="I256">
        <v>17</v>
      </c>
      <c r="J256">
        <v>6</v>
      </c>
      <c r="K256">
        <v>518</v>
      </c>
      <c r="L256">
        <v>2</v>
      </c>
    </row>
    <row r="257" spans="1:12">
      <c r="A257" t="s">
        <v>282</v>
      </c>
      <c r="B257" s="1">
        <v>45630</v>
      </c>
      <c r="C257" t="s">
        <v>33</v>
      </c>
      <c r="D257" s="9" t="s">
        <v>14</v>
      </c>
      <c r="E257" s="2">
        <v>45531</v>
      </c>
      <c r="F257" t="b">
        <v>0</v>
      </c>
      <c r="G257" t="s">
        <v>191</v>
      </c>
      <c r="H257">
        <v>98</v>
      </c>
      <c r="I257">
        <v>2</v>
      </c>
      <c r="J257">
        <v>6</v>
      </c>
      <c r="K257">
        <v>327</v>
      </c>
      <c r="L257">
        <v>1</v>
      </c>
    </row>
    <row r="258" spans="1:12">
      <c r="A258" t="s">
        <v>283</v>
      </c>
      <c r="B258" s="1">
        <v>45421.236805555556</v>
      </c>
      <c r="C258" t="s">
        <v>19</v>
      </c>
      <c r="D258" s="9" t="s">
        <v>14</v>
      </c>
      <c r="E258" s="2">
        <v>45511</v>
      </c>
      <c r="F258" t="b">
        <v>0</v>
      </c>
      <c r="G258" t="s">
        <v>191</v>
      </c>
      <c r="H258">
        <v>98</v>
      </c>
      <c r="I258">
        <v>13</v>
      </c>
      <c r="J258">
        <v>1</v>
      </c>
      <c r="K258">
        <v>566</v>
      </c>
      <c r="L258">
        <v>2</v>
      </c>
    </row>
    <row r="259" spans="1:12">
      <c r="A259" t="s">
        <v>284</v>
      </c>
      <c r="B259" s="1">
        <v>45483.080555555556</v>
      </c>
      <c r="C259" t="s">
        <v>30</v>
      </c>
      <c r="D259" s="9" t="s">
        <v>20</v>
      </c>
      <c r="E259" s="2">
        <v>45522</v>
      </c>
      <c r="F259" t="b">
        <v>1</v>
      </c>
      <c r="G259" t="s">
        <v>191</v>
      </c>
      <c r="H259">
        <v>98</v>
      </c>
      <c r="I259">
        <v>13</v>
      </c>
      <c r="J259">
        <v>4</v>
      </c>
      <c r="K259">
        <v>375</v>
      </c>
      <c r="L259">
        <v>2</v>
      </c>
    </row>
    <row r="260" spans="1:12">
      <c r="A260" t="s">
        <v>285</v>
      </c>
      <c r="B260" s="1">
        <v>45334.942361111112</v>
      </c>
      <c r="C260" t="s">
        <v>13</v>
      </c>
      <c r="D260" s="9" t="s">
        <v>20</v>
      </c>
      <c r="E260" s="2">
        <v>45515</v>
      </c>
      <c r="F260" t="b">
        <v>1</v>
      </c>
      <c r="G260" t="s">
        <v>191</v>
      </c>
      <c r="H260">
        <v>98</v>
      </c>
      <c r="I260">
        <v>20</v>
      </c>
      <c r="J260">
        <v>5</v>
      </c>
      <c r="K260">
        <v>424</v>
      </c>
      <c r="L260">
        <v>2</v>
      </c>
    </row>
    <row r="261" spans="1:12">
      <c r="A261" t="s">
        <v>286</v>
      </c>
      <c r="B261" s="1">
        <v>45357</v>
      </c>
      <c r="C261" t="s">
        <v>24</v>
      </c>
      <c r="D261" s="9" t="s">
        <v>20</v>
      </c>
      <c r="E261" s="2">
        <v>45521</v>
      </c>
      <c r="F261" t="b">
        <v>1</v>
      </c>
      <c r="G261" t="s">
        <v>191</v>
      </c>
      <c r="H261">
        <v>98</v>
      </c>
      <c r="I261">
        <v>14</v>
      </c>
      <c r="J261">
        <v>6</v>
      </c>
      <c r="K261">
        <v>600</v>
      </c>
      <c r="L261">
        <v>1</v>
      </c>
    </row>
    <row r="262" spans="1:12">
      <c r="A262" t="s">
        <v>287</v>
      </c>
      <c r="B262" s="1">
        <v>45515.643055555556</v>
      </c>
      <c r="C262" t="s">
        <v>19</v>
      </c>
      <c r="D262" s="9" t="s">
        <v>26</v>
      </c>
      <c r="E262" s="2">
        <v>45526</v>
      </c>
      <c r="F262" t="b">
        <v>1</v>
      </c>
      <c r="G262" t="s">
        <v>191</v>
      </c>
      <c r="H262">
        <v>97</v>
      </c>
      <c r="I262">
        <v>9</v>
      </c>
      <c r="J262">
        <v>2</v>
      </c>
      <c r="K262">
        <v>613</v>
      </c>
      <c r="L262">
        <v>2</v>
      </c>
    </row>
    <row r="263" spans="1:12">
      <c r="A263" t="s">
        <v>288</v>
      </c>
      <c r="B263" s="1">
        <v>45481.837500000001</v>
      </c>
      <c r="C263" t="s">
        <v>13</v>
      </c>
      <c r="D263" s="9" t="s">
        <v>26</v>
      </c>
      <c r="E263" s="2">
        <v>45513</v>
      </c>
      <c r="F263" t="b">
        <v>0</v>
      </c>
      <c r="G263" t="s">
        <v>191</v>
      </c>
      <c r="H263">
        <v>97</v>
      </c>
      <c r="I263">
        <v>3</v>
      </c>
      <c r="J263">
        <v>0</v>
      </c>
      <c r="K263">
        <v>518</v>
      </c>
      <c r="L263">
        <v>2</v>
      </c>
    </row>
    <row r="264" spans="1:12">
      <c r="A264" t="s">
        <v>289</v>
      </c>
      <c r="B264" s="1">
        <v>45296.354166666664</v>
      </c>
      <c r="C264" t="s">
        <v>37</v>
      </c>
      <c r="D264" s="9" t="s">
        <v>26</v>
      </c>
      <c r="E264" s="2">
        <v>45512</v>
      </c>
      <c r="F264" t="b">
        <v>1</v>
      </c>
      <c r="G264" t="s">
        <v>191</v>
      </c>
      <c r="H264">
        <v>97</v>
      </c>
      <c r="I264">
        <v>23</v>
      </c>
      <c r="J264">
        <v>2</v>
      </c>
      <c r="K264">
        <v>630</v>
      </c>
      <c r="L264">
        <v>2</v>
      </c>
    </row>
    <row r="265" spans="1:12">
      <c r="A265" t="s">
        <v>290</v>
      </c>
      <c r="B265" s="1">
        <v>45403.305555555555</v>
      </c>
      <c r="C265" t="s">
        <v>13</v>
      </c>
      <c r="D265" s="9" t="s">
        <v>26</v>
      </c>
      <c r="E265" s="2">
        <v>45507</v>
      </c>
      <c r="F265" t="b">
        <v>1</v>
      </c>
      <c r="G265" t="s">
        <v>191</v>
      </c>
      <c r="H265">
        <v>97</v>
      </c>
      <c r="I265">
        <v>28</v>
      </c>
      <c r="J265">
        <v>2</v>
      </c>
      <c r="K265">
        <v>583</v>
      </c>
      <c r="L265">
        <v>2</v>
      </c>
    </row>
    <row r="266" spans="1:12">
      <c r="A266" t="s">
        <v>291</v>
      </c>
      <c r="B266" s="1">
        <v>45636</v>
      </c>
      <c r="C266" t="s">
        <v>22</v>
      </c>
      <c r="D266" s="9" t="s">
        <v>20</v>
      </c>
      <c r="E266" s="2">
        <v>45519</v>
      </c>
      <c r="F266" t="b">
        <v>1</v>
      </c>
      <c r="G266" t="s">
        <v>191</v>
      </c>
      <c r="H266">
        <v>97</v>
      </c>
      <c r="I266">
        <v>16</v>
      </c>
      <c r="J266">
        <v>7</v>
      </c>
      <c r="K266">
        <v>321</v>
      </c>
      <c r="L266">
        <v>1</v>
      </c>
    </row>
    <row r="267" spans="1:12">
      <c r="A267" t="s">
        <v>292</v>
      </c>
      <c r="B267" s="1">
        <v>45629</v>
      </c>
      <c r="C267" t="s">
        <v>33</v>
      </c>
      <c r="D267" s="9" t="s">
        <v>14</v>
      </c>
      <c r="E267" s="2">
        <v>45530</v>
      </c>
      <c r="F267" t="b">
        <v>0</v>
      </c>
      <c r="G267" t="s">
        <v>191</v>
      </c>
      <c r="H267">
        <v>97</v>
      </c>
      <c r="I267">
        <v>19</v>
      </c>
      <c r="J267">
        <v>1</v>
      </c>
      <c r="K267">
        <v>328</v>
      </c>
      <c r="L267">
        <v>1</v>
      </c>
    </row>
    <row r="268" spans="1:12">
      <c r="A268" t="s">
        <v>293</v>
      </c>
      <c r="B268" s="1">
        <v>45485</v>
      </c>
      <c r="C268" t="s">
        <v>51</v>
      </c>
      <c r="D268" s="9" t="s">
        <v>14</v>
      </c>
      <c r="E268" s="2">
        <v>45509</v>
      </c>
      <c r="F268" t="b">
        <v>0</v>
      </c>
      <c r="G268" t="s">
        <v>191</v>
      </c>
      <c r="H268">
        <v>96</v>
      </c>
      <c r="I268">
        <v>2</v>
      </c>
      <c r="J268">
        <v>2</v>
      </c>
      <c r="K268">
        <v>472</v>
      </c>
      <c r="L268">
        <v>1</v>
      </c>
    </row>
    <row r="269" spans="1:12">
      <c r="A269" t="s">
        <v>294</v>
      </c>
      <c r="B269" s="1">
        <v>45374.756944444445</v>
      </c>
      <c r="C269" t="s">
        <v>19</v>
      </c>
      <c r="D269" s="9" t="s">
        <v>26</v>
      </c>
      <c r="E269" s="2">
        <v>45518</v>
      </c>
      <c r="F269" t="b">
        <v>0</v>
      </c>
      <c r="G269" t="s">
        <v>191</v>
      </c>
      <c r="H269">
        <v>96</v>
      </c>
      <c r="I269">
        <v>22</v>
      </c>
      <c r="J269">
        <v>3</v>
      </c>
      <c r="K269">
        <v>477</v>
      </c>
      <c r="L269">
        <v>2</v>
      </c>
    </row>
    <row r="270" spans="1:12">
      <c r="A270" t="s">
        <v>295</v>
      </c>
      <c r="B270" s="1">
        <v>45345.898611111108</v>
      </c>
      <c r="C270" t="s">
        <v>24</v>
      </c>
      <c r="D270" s="9" t="s">
        <v>14</v>
      </c>
      <c r="E270" s="2">
        <v>45512</v>
      </c>
      <c r="F270" t="b">
        <v>0</v>
      </c>
      <c r="G270" t="s">
        <v>191</v>
      </c>
      <c r="H270">
        <v>96</v>
      </c>
      <c r="I270">
        <v>9</v>
      </c>
      <c r="J270">
        <v>1</v>
      </c>
      <c r="K270">
        <v>629</v>
      </c>
      <c r="L270">
        <v>2</v>
      </c>
    </row>
    <row r="271" spans="1:12">
      <c r="A271" t="s">
        <v>296</v>
      </c>
      <c r="B271" s="1">
        <v>45313.866666666669</v>
      </c>
      <c r="C271" t="s">
        <v>37</v>
      </c>
      <c r="D271" s="9" t="s">
        <v>17</v>
      </c>
      <c r="E271" s="2">
        <v>45509</v>
      </c>
      <c r="F271" t="b">
        <v>1</v>
      </c>
      <c r="G271" t="s">
        <v>191</v>
      </c>
      <c r="H271">
        <v>96</v>
      </c>
      <c r="I271">
        <v>26</v>
      </c>
      <c r="J271">
        <v>9</v>
      </c>
      <c r="K271">
        <v>380</v>
      </c>
      <c r="L271">
        <v>0</v>
      </c>
    </row>
    <row r="272" spans="1:12">
      <c r="A272" t="s">
        <v>297</v>
      </c>
      <c r="B272" s="1">
        <v>45557.323611111111</v>
      </c>
      <c r="C272" t="s">
        <v>13</v>
      </c>
      <c r="D272" s="9" t="s">
        <v>26</v>
      </c>
      <c r="E272" s="2">
        <v>45518</v>
      </c>
      <c r="F272" t="b">
        <v>0</v>
      </c>
      <c r="G272" t="s">
        <v>191</v>
      </c>
      <c r="H272">
        <v>96</v>
      </c>
      <c r="I272">
        <v>24</v>
      </c>
      <c r="J272">
        <v>4</v>
      </c>
      <c r="K272">
        <v>384</v>
      </c>
      <c r="L272">
        <v>2</v>
      </c>
    </row>
    <row r="273" spans="1:12">
      <c r="A273" t="s">
        <v>298</v>
      </c>
      <c r="B273" s="1">
        <v>45295</v>
      </c>
      <c r="C273" t="s">
        <v>19</v>
      </c>
      <c r="D273" s="9" t="s">
        <v>17</v>
      </c>
      <c r="E273" s="2">
        <v>45530</v>
      </c>
      <c r="F273" t="b">
        <v>1</v>
      </c>
      <c r="G273" t="s">
        <v>191</v>
      </c>
      <c r="H273">
        <v>96</v>
      </c>
      <c r="I273">
        <v>5</v>
      </c>
      <c r="J273">
        <v>9</v>
      </c>
      <c r="K273">
        <v>662</v>
      </c>
      <c r="L273">
        <v>0</v>
      </c>
    </row>
    <row r="274" spans="1:12">
      <c r="A274" t="s">
        <v>299</v>
      </c>
      <c r="B274" s="1">
        <v>45616.833333333336</v>
      </c>
      <c r="C274" t="s">
        <v>19</v>
      </c>
      <c r="D274" s="9" t="s">
        <v>20</v>
      </c>
      <c r="E274" s="2">
        <v>45523</v>
      </c>
      <c r="F274" t="b">
        <v>1</v>
      </c>
      <c r="G274" t="s">
        <v>191</v>
      </c>
      <c r="H274">
        <v>95</v>
      </c>
      <c r="I274">
        <v>12</v>
      </c>
      <c r="J274">
        <v>4</v>
      </c>
      <c r="K274">
        <v>416</v>
      </c>
      <c r="L274">
        <v>2</v>
      </c>
    </row>
    <row r="275" spans="1:12">
      <c r="A275" t="s">
        <v>300</v>
      </c>
      <c r="B275" s="1">
        <v>45547.67291666667</v>
      </c>
      <c r="C275" t="s">
        <v>37</v>
      </c>
      <c r="D275" s="9" t="s">
        <v>26</v>
      </c>
      <c r="E275" s="2">
        <v>45513</v>
      </c>
      <c r="F275" t="b">
        <v>0</v>
      </c>
      <c r="G275" t="s">
        <v>191</v>
      </c>
      <c r="H275">
        <v>95</v>
      </c>
      <c r="I275">
        <v>17</v>
      </c>
      <c r="J275">
        <v>1</v>
      </c>
      <c r="K275">
        <v>407</v>
      </c>
      <c r="L275">
        <v>2</v>
      </c>
    </row>
    <row r="276" spans="1:12">
      <c r="A276" t="s">
        <v>301</v>
      </c>
      <c r="B276" s="1">
        <v>45634.677777777775</v>
      </c>
      <c r="C276" t="s">
        <v>33</v>
      </c>
      <c r="D276" s="9" t="s">
        <v>26</v>
      </c>
      <c r="E276" s="2">
        <v>45522</v>
      </c>
      <c r="F276" t="b">
        <v>0</v>
      </c>
      <c r="G276" t="s">
        <v>191</v>
      </c>
      <c r="H276">
        <v>94</v>
      </c>
      <c r="I276">
        <v>17</v>
      </c>
      <c r="J276">
        <v>1</v>
      </c>
      <c r="K276">
        <v>390</v>
      </c>
      <c r="L276">
        <v>2</v>
      </c>
    </row>
    <row r="277" spans="1:12">
      <c r="A277" t="s">
        <v>302</v>
      </c>
      <c r="B277" s="1">
        <v>45344.597916666666</v>
      </c>
      <c r="C277" t="s">
        <v>37</v>
      </c>
      <c r="D277" s="9" t="s">
        <v>14</v>
      </c>
      <c r="E277" s="2">
        <v>45525</v>
      </c>
      <c r="F277" t="b">
        <v>0</v>
      </c>
      <c r="G277" t="s">
        <v>191</v>
      </c>
      <c r="H277">
        <v>94</v>
      </c>
      <c r="I277">
        <v>20</v>
      </c>
      <c r="J277">
        <v>1</v>
      </c>
      <c r="K277">
        <v>442</v>
      </c>
      <c r="L277">
        <v>2</v>
      </c>
    </row>
    <row r="278" spans="1:12">
      <c r="A278" t="s">
        <v>303</v>
      </c>
      <c r="B278" s="1">
        <v>45358</v>
      </c>
      <c r="C278" t="s">
        <v>19</v>
      </c>
      <c r="D278" s="9" t="s">
        <v>14</v>
      </c>
      <c r="E278" s="2">
        <v>45530</v>
      </c>
      <c r="F278" t="b">
        <v>0</v>
      </c>
      <c r="G278" t="s">
        <v>191</v>
      </c>
      <c r="H278">
        <v>94</v>
      </c>
      <c r="I278">
        <v>23</v>
      </c>
      <c r="J278">
        <v>1</v>
      </c>
      <c r="K278">
        <v>599</v>
      </c>
      <c r="L278">
        <v>1</v>
      </c>
    </row>
    <row r="279" spans="1:12">
      <c r="A279" t="s">
        <v>304</v>
      </c>
      <c r="B279" s="1">
        <v>45539</v>
      </c>
      <c r="C279" t="s">
        <v>37</v>
      </c>
      <c r="D279" s="9" t="s">
        <v>20</v>
      </c>
      <c r="E279" s="2">
        <v>45534</v>
      </c>
      <c r="F279" t="b">
        <v>1</v>
      </c>
      <c r="G279" t="s">
        <v>191</v>
      </c>
      <c r="H279">
        <v>94</v>
      </c>
      <c r="I279">
        <v>1</v>
      </c>
      <c r="J279">
        <v>3</v>
      </c>
      <c r="K279">
        <v>418</v>
      </c>
      <c r="L279">
        <v>1</v>
      </c>
    </row>
    <row r="280" spans="1:12">
      <c r="A280" t="s">
        <v>305</v>
      </c>
      <c r="B280" s="1">
        <v>45351.138888888891</v>
      </c>
      <c r="C280" t="s">
        <v>30</v>
      </c>
      <c r="D280" s="9" t="s">
        <v>17</v>
      </c>
      <c r="E280" s="2">
        <v>45516</v>
      </c>
      <c r="F280" t="b">
        <v>0</v>
      </c>
      <c r="G280" t="s">
        <v>191</v>
      </c>
      <c r="H280">
        <v>94</v>
      </c>
      <c r="I280">
        <v>12</v>
      </c>
      <c r="J280">
        <v>14</v>
      </c>
      <c r="K280">
        <v>460</v>
      </c>
      <c r="L280">
        <v>0</v>
      </c>
    </row>
    <row r="281" spans="1:12">
      <c r="A281" t="s">
        <v>306</v>
      </c>
      <c r="B281" s="1">
        <v>45296</v>
      </c>
      <c r="C281" t="s">
        <v>33</v>
      </c>
      <c r="D281" s="9" t="s">
        <v>14</v>
      </c>
      <c r="E281" s="2">
        <v>45530</v>
      </c>
      <c r="F281" t="b">
        <v>0</v>
      </c>
      <c r="G281" t="s">
        <v>191</v>
      </c>
      <c r="H281">
        <v>94</v>
      </c>
      <c r="I281">
        <v>17</v>
      </c>
      <c r="J281">
        <v>2</v>
      </c>
      <c r="K281">
        <v>661</v>
      </c>
      <c r="L281">
        <v>1</v>
      </c>
    </row>
    <row r="282" spans="1:12">
      <c r="A282" t="s">
        <v>307</v>
      </c>
      <c r="B282" s="1">
        <v>45476</v>
      </c>
      <c r="C282" t="s">
        <v>30</v>
      </c>
      <c r="D282" s="9" t="s">
        <v>14</v>
      </c>
      <c r="E282" s="2">
        <v>45512</v>
      </c>
      <c r="F282" t="b">
        <v>0</v>
      </c>
      <c r="G282" t="s">
        <v>191</v>
      </c>
      <c r="H282">
        <v>93</v>
      </c>
      <c r="I282">
        <v>17</v>
      </c>
      <c r="J282">
        <v>1</v>
      </c>
      <c r="K282">
        <v>481</v>
      </c>
      <c r="L282">
        <v>1</v>
      </c>
    </row>
    <row r="283" spans="1:12">
      <c r="A283" t="s">
        <v>308</v>
      </c>
      <c r="B283" s="1">
        <v>45607.835416666669</v>
      </c>
      <c r="C283" t="s">
        <v>37</v>
      </c>
      <c r="D283" s="9" t="s">
        <v>14</v>
      </c>
      <c r="E283" s="2">
        <v>45509</v>
      </c>
      <c r="F283" t="b">
        <v>0</v>
      </c>
      <c r="G283" t="s">
        <v>191</v>
      </c>
      <c r="H283">
        <v>93</v>
      </c>
      <c r="I283">
        <v>7</v>
      </c>
      <c r="J283">
        <v>3</v>
      </c>
      <c r="K283">
        <v>540</v>
      </c>
      <c r="L283">
        <v>2</v>
      </c>
    </row>
    <row r="284" spans="1:12">
      <c r="A284" t="s">
        <v>309</v>
      </c>
      <c r="B284" s="1">
        <v>45329.215277777781</v>
      </c>
      <c r="C284" t="s">
        <v>19</v>
      </c>
      <c r="D284" s="9" t="s">
        <v>26</v>
      </c>
      <c r="E284" s="2">
        <v>45511</v>
      </c>
      <c r="F284" t="b">
        <v>1</v>
      </c>
      <c r="G284" t="s">
        <v>191</v>
      </c>
      <c r="H284">
        <v>92</v>
      </c>
      <c r="I284">
        <v>24</v>
      </c>
      <c r="J284">
        <v>7</v>
      </c>
      <c r="K284">
        <v>392</v>
      </c>
      <c r="L284">
        <v>2</v>
      </c>
    </row>
    <row r="285" spans="1:12">
      <c r="A285" t="s">
        <v>310</v>
      </c>
      <c r="B285" s="1">
        <v>45583.148611111108</v>
      </c>
      <c r="C285" t="s">
        <v>33</v>
      </c>
      <c r="D285" s="9" t="s">
        <v>17</v>
      </c>
      <c r="E285" s="2">
        <v>45518</v>
      </c>
      <c r="F285" t="b">
        <v>0</v>
      </c>
      <c r="G285" t="s">
        <v>191</v>
      </c>
      <c r="H285">
        <v>92</v>
      </c>
      <c r="I285">
        <v>2</v>
      </c>
      <c r="J285">
        <v>18</v>
      </c>
      <c r="K285">
        <v>508</v>
      </c>
      <c r="L285">
        <v>0</v>
      </c>
    </row>
    <row r="286" spans="1:12">
      <c r="A286" t="s">
        <v>311</v>
      </c>
      <c r="B286" s="1">
        <v>45423</v>
      </c>
      <c r="C286" t="s">
        <v>13</v>
      </c>
      <c r="D286" s="9" t="s">
        <v>17</v>
      </c>
      <c r="E286" s="2">
        <v>45533</v>
      </c>
      <c r="F286" t="b">
        <v>1</v>
      </c>
      <c r="G286" t="s">
        <v>191</v>
      </c>
      <c r="H286">
        <v>92</v>
      </c>
      <c r="I286">
        <v>2</v>
      </c>
      <c r="J286">
        <v>11</v>
      </c>
      <c r="K286">
        <v>534</v>
      </c>
      <c r="L286">
        <v>0</v>
      </c>
    </row>
    <row r="287" spans="1:12">
      <c r="A287" t="s">
        <v>312</v>
      </c>
      <c r="B287" s="1">
        <v>45444</v>
      </c>
      <c r="C287" t="s">
        <v>33</v>
      </c>
      <c r="D287" s="9" t="s">
        <v>26</v>
      </c>
      <c r="E287" s="2">
        <v>45515</v>
      </c>
      <c r="F287" t="b">
        <v>1</v>
      </c>
      <c r="G287" t="s">
        <v>313</v>
      </c>
      <c r="H287">
        <v>91</v>
      </c>
      <c r="I287">
        <v>20</v>
      </c>
      <c r="J287">
        <v>6</v>
      </c>
      <c r="K287">
        <v>513</v>
      </c>
      <c r="L287">
        <v>1</v>
      </c>
    </row>
    <row r="288" spans="1:12">
      <c r="A288" t="s">
        <v>314</v>
      </c>
      <c r="B288" s="1">
        <v>45444</v>
      </c>
      <c r="C288" t="s">
        <v>33</v>
      </c>
      <c r="D288" s="9" t="s">
        <v>14</v>
      </c>
      <c r="E288" s="2">
        <v>45531</v>
      </c>
      <c r="F288" t="b">
        <v>0</v>
      </c>
      <c r="G288" t="s">
        <v>313</v>
      </c>
      <c r="H288">
        <v>91</v>
      </c>
      <c r="I288">
        <v>24</v>
      </c>
      <c r="J288">
        <v>4</v>
      </c>
      <c r="K288">
        <v>513</v>
      </c>
      <c r="L288">
        <v>1</v>
      </c>
    </row>
    <row r="289" spans="1:12">
      <c r="A289" t="s">
        <v>315</v>
      </c>
      <c r="B289" s="1">
        <v>45444</v>
      </c>
      <c r="C289" t="s">
        <v>13</v>
      </c>
      <c r="D289" s="9" t="s">
        <v>20</v>
      </c>
      <c r="E289" s="2">
        <v>45509</v>
      </c>
      <c r="F289" t="b">
        <v>0</v>
      </c>
      <c r="G289" t="s">
        <v>313</v>
      </c>
      <c r="H289">
        <v>91</v>
      </c>
      <c r="I289">
        <v>6</v>
      </c>
      <c r="J289">
        <v>1</v>
      </c>
      <c r="K289">
        <v>513</v>
      </c>
      <c r="L289">
        <v>1</v>
      </c>
    </row>
    <row r="290" spans="1:12">
      <c r="A290" t="s">
        <v>316</v>
      </c>
      <c r="B290" s="1">
        <v>45444</v>
      </c>
      <c r="C290" t="s">
        <v>19</v>
      </c>
      <c r="D290" s="9" t="s">
        <v>26</v>
      </c>
      <c r="E290" s="2">
        <v>45511</v>
      </c>
      <c r="F290" t="b">
        <v>1</v>
      </c>
      <c r="G290" t="s">
        <v>313</v>
      </c>
      <c r="H290">
        <v>91</v>
      </c>
      <c r="I290">
        <v>24</v>
      </c>
      <c r="J290">
        <v>1</v>
      </c>
      <c r="K290">
        <v>513</v>
      </c>
      <c r="L290">
        <v>1</v>
      </c>
    </row>
    <row r="291" spans="1:12">
      <c r="A291" t="s">
        <v>317</v>
      </c>
      <c r="B291" s="1">
        <v>45444</v>
      </c>
      <c r="C291" t="s">
        <v>24</v>
      </c>
      <c r="D291" s="9" t="s">
        <v>14</v>
      </c>
      <c r="E291" s="2">
        <v>45527</v>
      </c>
      <c r="F291" t="b">
        <v>1</v>
      </c>
      <c r="G291" t="s">
        <v>313</v>
      </c>
      <c r="H291">
        <v>91</v>
      </c>
      <c r="I291">
        <v>8</v>
      </c>
      <c r="J291">
        <v>2</v>
      </c>
      <c r="K291">
        <v>513</v>
      </c>
      <c r="L291">
        <v>1</v>
      </c>
    </row>
    <row r="292" spans="1:12">
      <c r="A292" t="s">
        <v>318</v>
      </c>
      <c r="B292" s="1">
        <v>45444</v>
      </c>
      <c r="C292" t="s">
        <v>37</v>
      </c>
      <c r="D292" s="9" t="s">
        <v>14</v>
      </c>
      <c r="E292" s="2">
        <v>45507</v>
      </c>
      <c r="F292" t="b">
        <v>0</v>
      </c>
      <c r="G292" t="s">
        <v>313</v>
      </c>
      <c r="H292">
        <v>91</v>
      </c>
      <c r="I292">
        <v>10</v>
      </c>
      <c r="J292">
        <v>1</v>
      </c>
      <c r="K292">
        <v>513</v>
      </c>
      <c r="L292">
        <v>1</v>
      </c>
    </row>
    <row r="293" spans="1:12">
      <c r="A293" t="s">
        <v>319</v>
      </c>
      <c r="B293" s="1">
        <v>45444</v>
      </c>
      <c r="C293" t="s">
        <v>19</v>
      </c>
      <c r="D293" s="9" t="s">
        <v>14</v>
      </c>
      <c r="E293" s="2">
        <v>45505</v>
      </c>
      <c r="F293" t="b">
        <v>1</v>
      </c>
      <c r="G293" t="s">
        <v>313</v>
      </c>
      <c r="H293">
        <v>91</v>
      </c>
      <c r="I293">
        <v>30</v>
      </c>
      <c r="J293">
        <v>1</v>
      </c>
      <c r="K293">
        <v>513</v>
      </c>
      <c r="L293">
        <v>1</v>
      </c>
    </row>
    <row r="294" spans="1:12">
      <c r="A294" t="s">
        <v>320</v>
      </c>
      <c r="B294" s="1">
        <v>45445</v>
      </c>
      <c r="C294" t="s">
        <v>13</v>
      </c>
      <c r="D294" s="9" t="s">
        <v>14</v>
      </c>
      <c r="E294" s="2">
        <v>45527</v>
      </c>
      <c r="F294" t="b">
        <v>0</v>
      </c>
      <c r="G294" t="s">
        <v>313</v>
      </c>
      <c r="H294">
        <v>90</v>
      </c>
      <c r="I294">
        <v>6</v>
      </c>
      <c r="J294">
        <v>2</v>
      </c>
      <c r="K294">
        <v>512</v>
      </c>
      <c r="L294">
        <v>1</v>
      </c>
    </row>
    <row r="295" spans="1:12">
      <c r="A295" t="s">
        <v>321</v>
      </c>
      <c r="B295" s="1">
        <v>45445</v>
      </c>
      <c r="C295" t="s">
        <v>13</v>
      </c>
      <c r="D295" s="9" t="s">
        <v>14</v>
      </c>
      <c r="E295" s="2">
        <v>45511</v>
      </c>
      <c r="F295" t="b">
        <v>1</v>
      </c>
      <c r="G295" t="s">
        <v>313</v>
      </c>
      <c r="H295">
        <v>90</v>
      </c>
      <c r="I295">
        <v>24</v>
      </c>
      <c r="J295">
        <v>2</v>
      </c>
      <c r="K295">
        <v>512</v>
      </c>
      <c r="L295">
        <v>1</v>
      </c>
    </row>
    <row r="296" spans="1:12">
      <c r="A296" t="s">
        <v>322</v>
      </c>
      <c r="B296" s="1">
        <v>45445</v>
      </c>
      <c r="C296" t="s">
        <v>37</v>
      </c>
      <c r="D296" s="9" t="s">
        <v>20</v>
      </c>
      <c r="E296" s="2">
        <v>45523</v>
      </c>
      <c r="F296" t="b">
        <v>1</v>
      </c>
      <c r="G296" t="s">
        <v>313</v>
      </c>
      <c r="H296">
        <v>90</v>
      </c>
      <c r="I296">
        <v>12</v>
      </c>
      <c r="J296">
        <v>7</v>
      </c>
      <c r="K296">
        <v>512</v>
      </c>
      <c r="L296">
        <v>1</v>
      </c>
    </row>
    <row r="297" spans="1:12">
      <c r="A297" t="s">
        <v>323</v>
      </c>
      <c r="B297" s="1">
        <v>45445</v>
      </c>
      <c r="C297" t="s">
        <v>13</v>
      </c>
      <c r="D297" s="9" t="s">
        <v>17</v>
      </c>
      <c r="E297" s="2">
        <v>45523</v>
      </c>
      <c r="F297" t="b">
        <v>1</v>
      </c>
      <c r="G297" t="s">
        <v>313</v>
      </c>
      <c r="H297">
        <v>90</v>
      </c>
      <c r="I297">
        <v>12</v>
      </c>
      <c r="J297">
        <v>15</v>
      </c>
      <c r="K297">
        <v>512</v>
      </c>
      <c r="L297">
        <v>0</v>
      </c>
    </row>
    <row r="298" spans="1:12">
      <c r="A298" t="s">
        <v>324</v>
      </c>
      <c r="B298" s="1">
        <v>45446</v>
      </c>
      <c r="C298" t="s">
        <v>24</v>
      </c>
      <c r="D298" s="9" t="s">
        <v>17</v>
      </c>
      <c r="E298" s="2">
        <v>45516</v>
      </c>
      <c r="F298" t="b">
        <v>1</v>
      </c>
      <c r="G298" t="s">
        <v>313</v>
      </c>
      <c r="H298">
        <v>89</v>
      </c>
      <c r="I298">
        <v>19</v>
      </c>
      <c r="J298">
        <v>19</v>
      </c>
      <c r="K298">
        <v>511</v>
      </c>
      <c r="L298">
        <v>0</v>
      </c>
    </row>
    <row r="299" spans="1:12">
      <c r="A299" t="s">
        <v>325</v>
      </c>
      <c r="B299" s="1">
        <v>45446</v>
      </c>
      <c r="C299" t="s">
        <v>33</v>
      </c>
      <c r="D299" s="9" t="s">
        <v>26</v>
      </c>
      <c r="E299" s="2">
        <v>45506</v>
      </c>
      <c r="F299" t="b">
        <v>1</v>
      </c>
      <c r="G299" t="s">
        <v>313</v>
      </c>
      <c r="H299">
        <v>89</v>
      </c>
      <c r="I299">
        <v>29</v>
      </c>
      <c r="J299">
        <v>1</v>
      </c>
      <c r="K299">
        <v>511</v>
      </c>
      <c r="L299">
        <v>1</v>
      </c>
    </row>
    <row r="300" spans="1:12">
      <c r="A300" t="s">
        <v>326</v>
      </c>
      <c r="B300" s="1">
        <v>45446</v>
      </c>
      <c r="C300" t="s">
        <v>22</v>
      </c>
      <c r="D300" s="9" t="s">
        <v>26</v>
      </c>
      <c r="E300" s="2">
        <v>45511</v>
      </c>
      <c r="F300" t="b">
        <v>1</v>
      </c>
      <c r="G300" t="s">
        <v>313</v>
      </c>
      <c r="H300">
        <v>89</v>
      </c>
      <c r="I300">
        <v>24</v>
      </c>
      <c r="J300">
        <v>3</v>
      </c>
      <c r="K300">
        <v>511</v>
      </c>
      <c r="L300">
        <v>1</v>
      </c>
    </row>
    <row r="301" spans="1:12">
      <c r="A301" t="s">
        <v>327</v>
      </c>
      <c r="B301" s="1">
        <v>45446</v>
      </c>
      <c r="C301" t="s">
        <v>24</v>
      </c>
      <c r="D301" s="9" t="s">
        <v>14</v>
      </c>
      <c r="E301" s="2">
        <v>45516</v>
      </c>
      <c r="F301" t="b">
        <v>0</v>
      </c>
      <c r="G301" t="s">
        <v>313</v>
      </c>
      <c r="H301">
        <v>89</v>
      </c>
      <c r="I301">
        <v>6</v>
      </c>
      <c r="J301">
        <v>1</v>
      </c>
      <c r="K301">
        <v>511</v>
      </c>
      <c r="L301">
        <v>1</v>
      </c>
    </row>
    <row r="302" spans="1:12">
      <c r="A302" t="s">
        <v>328</v>
      </c>
      <c r="B302" s="1">
        <v>45446</v>
      </c>
      <c r="C302" t="s">
        <v>30</v>
      </c>
      <c r="D302" s="9" t="s">
        <v>26</v>
      </c>
      <c r="E302" s="2">
        <v>45516</v>
      </c>
      <c r="F302" t="b">
        <v>1</v>
      </c>
      <c r="G302" t="s">
        <v>313</v>
      </c>
      <c r="H302">
        <v>89</v>
      </c>
      <c r="I302">
        <v>19</v>
      </c>
      <c r="J302">
        <v>2</v>
      </c>
      <c r="K302">
        <v>511</v>
      </c>
      <c r="L302">
        <v>1</v>
      </c>
    </row>
    <row r="303" spans="1:12">
      <c r="A303" t="s">
        <v>329</v>
      </c>
      <c r="B303" s="1">
        <v>45446</v>
      </c>
      <c r="C303" t="s">
        <v>13</v>
      </c>
      <c r="D303" s="9" t="s">
        <v>14</v>
      </c>
      <c r="E303" s="2">
        <v>45534</v>
      </c>
      <c r="F303" t="b">
        <v>0</v>
      </c>
      <c r="G303" t="s">
        <v>313</v>
      </c>
      <c r="H303">
        <v>89</v>
      </c>
      <c r="I303">
        <v>8</v>
      </c>
      <c r="J303">
        <v>1</v>
      </c>
      <c r="K303">
        <v>511</v>
      </c>
      <c r="L303">
        <v>1</v>
      </c>
    </row>
    <row r="304" spans="1:12">
      <c r="A304" t="s">
        <v>330</v>
      </c>
      <c r="B304" s="1">
        <v>45446</v>
      </c>
      <c r="C304" t="s">
        <v>33</v>
      </c>
      <c r="D304" s="9" t="s">
        <v>20</v>
      </c>
      <c r="E304" s="2">
        <v>45510</v>
      </c>
      <c r="F304" t="b">
        <v>0</v>
      </c>
      <c r="G304" t="s">
        <v>313</v>
      </c>
      <c r="H304">
        <v>89</v>
      </c>
      <c r="I304">
        <v>24</v>
      </c>
      <c r="J304">
        <v>3</v>
      </c>
      <c r="K304">
        <v>511</v>
      </c>
      <c r="L304">
        <v>1</v>
      </c>
    </row>
    <row r="305" spans="1:12">
      <c r="A305" t="s">
        <v>331</v>
      </c>
      <c r="B305" s="1">
        <v>45446</v>
      </c>
      <c r="C305" t="s">
        <v>13</v>
      </c>
      <c r="D305" s="9" t="s">
        <v>14</v>
      </c>
      <c r="E305" s="2">
        <v>45508</v>
      </c>
      <c r="F305" t="b">
        <v>1</v>
      </c>
      <c r="G305" t="s">
        <v>313</v>
      </c>
      <c r="H305">
        <v>89</v>
      </c>
      <c r="I305">
        <v>27</v>
      </c>
      <c r="J305">
        <v>1</v>
      </c>
      <c r="K305">
        <v>511</v>
      </c>
      <c r="L305">
        <v>1</v>
      </c>
    </row>
    <row r="306" spans="1:12">
      <c r="A306" t="s">
        <v>332</v>
      </c>
      <c r="B306" s="1">
        <v>45447</v>
      </c>
      <c r="C306" t="s">
        <v>37</v>
      </c>
      <c r="D306" s="9" t="s">
        <v>26</v>
      </c>
      <c r="E306" s="2">
        <v>45521</v>
      </c>
      <c r="F306" t="b">
        <v>1</v>
      </c>
      <c r="G306" t="s">
        <v>313</v>
      </c>
      <c r="H306">
        <v>88</v>
      </c>
      <c r="I306">
        <v>14</v>
      </c>
      <c r="J306">
        <v>3</v>
      </c>
      <c r="K306">
        <v>510</v>
      </c>
      <c r="L306">
        <v>1</v>
      </c>
    </row>
    <row r="307" spans="1:12">
      <c r="A307" t="s">
        <v>333</v>
      </c>
      <c r="B307" s="1">
        <v>45447</v>
      </c>
      <c r="C307" t="s">
        <v>30</v>
      </c>
      <c r="D307" s="9" t="s">
        <v>26</v>
      </c>
      <c r="E307" s="2">
        <v>45519</v>
      </c>
      <c r="F307" t="b">
        <v>1</v>
      </c>
      <c r="G307" t="s">
        <v>313</v>
      </c>
      <c r="H307">
        <v>88</v>
      </c>
      <c r="I307">
        <v>16</v>
      </c>
      <c r="J307">
        <v>1</v>
      </c>
      <c r="K307">
        <v>510</v>
      </c>
      <c r="L307">
        <v>1</v>
      </c>
    </row>
    <row r="308" spans="1:12">
      <c r="A308" t="s">
        <v>334</v>
      </c>
      <c r="B308" s="1">
        <v>45447</v>
      </c>
      <c r="C308" t="s">
        <v>33</v>
      </c>
      <c r="D308" s="9" t="s">
        <v>14</v>
      </c>
      <c r="E308" s="2">
        <v>45505</v>
      </c>
      <c r="F308" t="b">
        <v>1</v>
      </c>
      <c r="G308" t="s">
        <v>313</v>
      </c>
      <c r="H308">
        <v>88</v>
      </c>
      <c r="I308">
        <v>30</v>
      </c>
      <c r="J308">
        <v>2</v>
      </c>
      <c r="K308">
        <v>510</v>
      </c>
      <c r="L308">
        <v>1</v>
      </c>
    </row>
    <row r="309" spans="1:12">
      <c r="A309" t="s">
        <v>335</v>
      </c>
      <c r="B309" s="1">
        <v>45447</v>
      </c>
      <c r="C309" t="s">
        <v>13</v>
      </c>
      <c r="D309" s="9" t="s">
        <v>26</v>
      </c>
      <c r="E309" s="2">
        <v>45512</v>
      </c>
      <c r="F309" t="b">
        <v>0</v>
      </c>
      <c r="G309" t="s">
        <v>313</v>
      </c>
      <c r="H309">
        <v>88</v>
      </c>
      <c r="I309">
        <v>5</v>
      </c>
      <c r="J309">
        <v>4</v>
      </c>
      <c r="K309">
        <v>510</v>
      </c>
      <c r="L309">
        <v>1</v>
      </c>
    </row>
    <row r="310" spans="1:12">
      <c r="A310" t="s">
        <v>336</v>
      </c>
      <c r="B310" s="1">
        <v>45447</v>
      </c>
      <c r="C310" t="s">
        <v>13</v>
      </c>
      <c r="D310" s="9" t="s">
        <v>20</v>
      </c>
      <c r="E310" s="2">
        <v>45525</v>
      </c>
      <c r="F310" t="b">
        <v>1</v>
      </c>
      <c r="G310" t="s">
        <v>313</v>
      </c>
      <c r="H310">
        <v>88</v>
      </c>
      <c r="I310">
        <v>10</v>
      </c>
      <c r="J310">
        <v>1</v>
      </c>
      <c r="K310">
        <v>510</v>
      </c>
      <c r="L310">
        <v>1</v>
      </c>
    </row>
    <row r="311" spans="1:12">
      <c r="A311" t="s">
        <v>337</v>
      </c>
      <c r="B311" s="1">
        <v>45447</v>
      </c>
      <c r="C311" t="s">
        <v>13</v>
      </c>
      <c r="D311" s="9" t="s">
        <v>14</v>
      </c>
      <c r="E311" s="2">
        <v>45521</v>
      </c>
      <c r="F311" t="b">
        <v>0</v>
      </c>
      <c r="G311" t="s">
        <v>313</v>
      </c>
      <c r="H311">
        <v>88</v>
      </c>
      <c r="I311">
        <v>18</v>
      </c>
      <c r="J311">
        <v>3</v>
      </c>
      <c r="K311">
        <v>510</v>
      </c>
      <c r="L311">
        <v>1</v>
      </c>
    </row>
    <row r="312" spans="1:12">
      <c r="A312" t="s">
        <v>338</v>
      </c>
      <c r="B312" s="1">
        <v>45448</v>
      </c>
      <c r="C312" t="s">
        <v>30</v>
      </c>
      <c r="D312" s="9" t="s">
        <v>14</v>
      </c>
      <c r="E312" s="2">
        <v>45529</v>
      </c>
      <c r="F312" t="b">
        <v>1</v>
      </c>
      <c r="G312" t="s">
        <v>313</v>
      </c>
      <c r="H312">
        <v>87</v>
      </c>
      <c r="I312">
        <v>6</v>
      </c>
      <c r="J312">
        <v>1</v>
      </c>
      <c r="K312">
        <v>509</v>
      </c>
      <c r="L312">
        <v>1</v>
      </c>
    </row>
    <row r="313" spans="1:12">
      <c r="A313" t="s">
        <v>339</v>
      </c>
      <c r="B313" s="1">
        <v>45448</v>
      </c>
      <c r="C313" t="s">
        <v>37</v>
      </c>
      <c r="D313" s="9" t="s">
        <v>26</v>
      </c>
      <c r="E313" s="2">
        <v>45509</v>
      </c>
      <c r="F313" t="b">
        <v>0</v>
      </c>
      <c r="G313" t="s">
        <v>313</v>
      </c>
      <c r="H313">
        <v>87</v>
      </c>
      <c r="I313">
        <v>23</v>
      </c>
      <c r="J313">
        <v>1</v>
      </c>
      <c r="K313">
        <v>509</v>
      </c>
      <c r="L313">
        <v>1</v>
      </c>
    </row>
    <row r="314" spans="1:12">
      <c r="A314" t="s">
        <v>340</v>
      </c>
      <c r="B314" s="1">
        <v>45448</v>
      </c>
      <c r="C314" t="s">
        <v>30</v>
      </c>
      <c r="D314" s="9" t="s">
        <v>14</v>
      </c>
      <c r="E314" s="2">
        <v>45533</v>
      </c>
      <c r="F314" t="b">
        <v>0</v>
      </c>
      <c r="G314" t="s">
        <v>313</v>
      </c>
      <c r="H314">
        <v>87</v>
      </c>
      <c r="I314">
        <v>11</v>
      </c>
      <c r="J314">
        <v>4</v>
      </c>
      <c r="K314">
        <v>509</v>
      </c>
      <c r="L314">
        <v>1</v>
      </c>
    </row>
    <row r="315" spans="1:12">
      <c r="A315" t="s">
        <v>341</v>
      </c>
      <c r="B315" s="1">
        <v>45448</v>
      </c>
      <c r="C315" t="s">
        <v>37</v>
      </c>
      <c r="D315" s="9" t="s">
        <v>26</v>
      </c>
      <c r="E315" s="2">
        <v>45518</v>
      </c>
      <c r="F315" t="b">
        <v>1</v>
      </c>
      <c r="G315" t="s">
        <v>313</v>
      </c>
      <c r="H315">
        <v>87</v>
      </c>
      <c r="I315">
        <v>17</v>
      </c>
      <c r="J315">
        <v>4</v>
      </c>
      <c r="K315">
        <v>509</v>
      </c>
      <c r="L315">
        <v>1</v>
      </c>
    </row>
    <row r="316" spans="1:12">
      <c r="A316" t="s">
        <v>342</v>
      </c>
      <c r="B316" s="1">
        <v>45448</v>
      </c>
      <c r="C316" t="s">
        <v>33</v>
      </c>
      <c r="D316" s="9" t="s">
        <v>26</v>
      </c>
      <c r="E316" s="2">
        <v>45506</v>
      </c>
      <c r="F316" t="b">
        <v>1</v>
      </c>
      <c r="G316" t="s">
        <v>313</v>
      </c>
      <c r="H316">
        <v>87</v>
      </c>
      <c r="I316">
        <v>29</v>
      </c>
      <c r="J316">
        <v>1</v>
      </c>
      <c r="K316">
        <v>509</v>
      </c>
      <c r="L316">
        <v>1</v>
      </c>
    </row>
    <row r="317" spans="1:12">
      <c r="A317" t="s">
        <v>343</v>
      </c>
      <c r="B317" s="1">
        <v>45448</v>
      </c>
      <c r="C317" t="s">
        <v>30</v>
      </c>
      <c r="D317" s="9" t="s">
        <v>20</v>
      </c>
      <c r="E317" s="2">
        <v>45516</v>
      </c>
      <c r="F317" t="b">
        <v>0</v>
      </c>
      <c r="G317" t="s">
        <v>313</v>
      </c>
      <c r="H317">
        <v>87</v>
      </c>
      <c r="I317">
        <v>18</v>
      </c>
      <c r="J317">
        <v>3</v>
      </c>
      <c r="K317">
        <v>509</v>
      </c>
      <c r="L317">
        <v>1</v>
      </c>
    </row>
    <row r="318" spans="1:12">
      <c r="A318" t="s">
        <v>344</v>
      </c>
      <c r="B318" s="1">
        <v>45449</v>
      </c>
      <c r="C318" t="s">
        <v>24</v>
      </c>
      <c r="D318" s="9" t="s">
        <v>20</v>
      </c>
      <c r="E318" s="2">
        <v>45534</v>
      </c>
      <c r="F318" t="b">
        <v>1</v>
      </c>
      <c r="G318" t="s">
        <v>313</v>
      </c>
      <c r="H318">
        <v>86</v>
      </c>
      <c r="I318">
        <v>1</v>
      </c>
      <c r="J318">
        <v>7</v>
      </c>
      <c r="K318">
        <v>508</v>
      </c>
      <c r="L318">
        <v>1</v>
      </c>
    </row>
    <row r="319" spans="1:12">
      <c r="A319" t="s">
        <v>345</v>
      </c>
      <c r="B319" s="1">
        <v>45449</v>
      </c>
      <c r="C319" t="s">
        <v>30</v>
      </c>
      <c r="D319" s="9" t="s">
        <v>20</v>
      </c>
      <c r="E319" s="2">
        <v>45523</v>
      </c>
      <c r="F319" t="b">
        <v>1</v>
      </c>
      <c r="G319" t="s">
        <v>313</v>
      </c>
      <c r="H319">
        <v>86</v>
      </c>
      <c r="I319">
        <v>12</v>
      </c>
      <c r="J319">
        <v>1</v>
      </c>
      <c r="K319">
        <v>508</v>
      </c>
      <c r="L319">
        <v>1</v>
      </c>
    </row>
    <row r="320" spans="1:12">
      <c r="A320" t="s">
        <v>346</v>
      </c>
      <c r="B320" s="1">
        <v>45449</v>
      </c>
      <c r="C320" t="s">
        <v>13</v>
      </c>
      <c r="D320" s="9" t="s">
        <v>20</v>
      </c>
      <c r="E320" s="2">
        <v>45527</v>
      </c>
      <c r="F320" t="b">
        <v>1</v>
      </c>
      <c r="G320" t="s">
        <v>313</v>
      </c>
      <c r="H320">
        <v>86</v>
      </c>
      <c r="I320">
        <v>8</v>
      </c>
      <c r="J320">
        <v>6</v>
      </c>
      <c r="K320">
        <v>508</v>
      </c>
      <c r="L320">
        <v>1</v>
      </c>
    </row>
    <row r="321" spans="1:12">
      <c r="A321" t="s">
        <v>347</v>
      </c>
      <c r="B321" s="1">
        <v>45450</v>
      </c>
      <c r="C321" t="s">
        <v>51</v>
      </c>
      <c r="D321" s="9" t="s">
        <v>14</v>
      </c>
      <c r="E321" s="2">
        <v>45513</v>
      </c>
      <c r="F321" t="b">
        <v>0</v>
      </c>
      <c r="G321" t="s">
        <v>313</v>
      </c>
      <c r="H321">
        <v>85</v>
      </c>
      <c r="I321">
        <v>13</v>
      </c>
      <c r="J321">
        <v>1</v>
      </c>
      <c r="K321">
        <v>507</v>
      </c>
      <c r="L321">
        <v>1</v>
      </c>
    </row>
    <row r="322" spans="1:12">
      <c r="A322" t="s">
        <v>348</v>
      </c>
      <c r="B322" s="1">
        <v>45450</v>
      </c>
      <c r="C322" t="s">
        <v>30</v>
      </c>
      <c r="D322" s="9" t="s">
        <v>20</v>
      </c>
      <c r="E322" s="2">
        <v>45521</v>
      </c>
      <c r="F322" t="b">
        <v>0</v>
      </c>
      <c r="G322" t="s">
        <v>313</v>
      </c>
      <c r="H322">
        <v>85</v>
      </c>
      <c r="I322">
        <v>22</v>
      </c>
      <c r="J322">
        <v>4</v>
      </c>
      <c r="K322">
        <v>507</v>
      </c>
      <c r="L322">
        <v>1</v>
      </c>
    </row>
    <row r="323" spans="1:12">
      <c r="A323" t="s">
        <v>349</v>
      </c>
      <c r="B323" s="1">
        <v>45451</v>
      </c>
      <c r="C323" t="s">
        <v>13</v>
      </c>
      <c r="D323" s="9" t="s">
        <v>14</v>
      </c>
      <c r="E323" s="2">
        <v>45531</v>
      </c>
      <c r="F323" t="b">
        <v>0</v>
      </c>
      <c r="G323" t="s">
        <v>313</v>
      </c>
      <c r="H323">
        <v>84</v>
      </c>
      <c r="I323">
        <v>5</v>
      </c>
      <c r="J323">
        <v>1</v>
      </c>
      <c r="K323">
        <v>506</v>
      </c>
      <c r="L323">
        <v>1</v>
      </c>
    </row>
    <row r="324" spans="1:12">
      <c r="A324" t="s">
        <v>350</v>
      </c>
      <c r="B324" s="1">
        <v>45451</v>
      </c>
      <c r="C324" t="s">
        <v>30</v>
      </c>
      <c r="D324" s="9" t="s">
        <v>26</v>
      </c>
      <c r="E324" s="2">
        <v>45513</v>
      </c>
      <c r="F324" t="b">
        <v>0</v>
      </c>
      <c r="G324" t="s">
        <v>313</v>
      </c>
      <c r="H324">
        <v>84</v>
      </c>
      <c r="I324">
        <v>13</v>
      </c>
      <c r="J324">
        <v>6</v>
      </c>
      <c r="K324">
        <v>506</v>
      </c>
      <c r="L324">
        <v>1</v>
      </c>
    </row>
    <row r="325" spans="1:12">
      <c r="A325" t="s">
        <v>351</v>
      </c>
      <c r="B325" s="1">
        <v>45452</v>
      </c>
      <c r="C325" t="s">
        <v>13</v>
      </c>
      <c r="D325" s="9" t="s">
        <v>20</v>
      </c>
      <c r="E325" s="2">
        <v>45558</v>
      </c>
      <c r="F325" t="b">
        <v>0</v>
      </c>
      <c r="G325" t="s">
        <v>313</v>
      </c>
      <c r="H325">
        <v>83</v>
      </c>
      <c r="I325">
        <v>29</v>
      </c>
      <c r="J325">
        <v>6</v>
      </c>
      <c r="K325">
        <v>505</v>
      </c>
      <c r="L325">
        <v>1</v>
      </c>
    </row>
    <row r="326" spans="1:12">
      <c r="A326" t="s">
        <v>352</v>
      </c>
      <c r="B326" s="1">
        <v>45452</v>
      </c>
      <c r="C326" t="s">
        <v>13</v>
      </c>
      <c r="D326" s="9" t="s">
        <v>26</v>
      </c>
      <c r="E326" s="2">
        <v>45550</v>
      </c>
      <c r="F326" t="b">
        <v>1</v>
      </c>
      <c r="G326" t="s">
        <v>313</v>
      </c>
      <c r="H326">
        <v>83</v>
      </c>
      <c r="I326">
        <v>10</v>
      </c>
      <c r="J326">
        <v>3</v>
      </c>
      <c r="K326">
        <v>505</v>
      </c>
      <c r="L326">
        <v>1</v>
      </c>
    </row>
    <row r="327" spans="1:12">
      <c r="A327" t="s">
        <v>353</v>
      </c>
      <c r="B327" s="1">
        <v>45452</v>
      </c>
      <c r="C327" t="s">
        <v>22</v>
      </c>
      <c r="D327" s="9" t="s">
        <v>26</v>
      </c>
      <c r="E327" s="2">
        <v>45562</v>
      </c>
      <c r="F327" t="b">
        <v>0</v>
      </c>
      <c r="G327" t="s">
        <v>313</v>
      </c>
      <c r="H327">
        <v>83</v>
      </c>
      <c r="I327">
        <v>28</v>
      </c>
      <c r="J327">
        <v>4</v>
      </c>
      <c r="K327">
        <v>505</v>
      </c>
      <c r="L327">
        <v>1</v>
      </c>
    </row>
    <row r="328" spans="1:12">
      <c r="A328" t="s">
        <v>354</v>
      </c>
      <c r="B328" s="1">
        <v>45452</v>
      </c>
      <c r="C328" t="s">
        <v>30</v>
      </c>
      <c r="D328" s="9" t="s">
        <v>14</v>
      </c>
      <c r="E328" s="2">
        <v>45562</v>
      </c>
      <c r="F328" t="b">
        <v>0</v>
      </c>
      <c r="G328" t="s">
        <v>313</v>
      </c>
      <c r="H328">
        <v>83</v>
      </c>
      <c r="I328">
        <v>7</v>
      </c>
      <c r="J328">
        <v>3</v>
      </c>
      <c r="K328">
        <v>505</v>
      </c>
      <c r="L328">
        <v>1</v>
      </c>
    </row>
    <row r="329" spans="1:12">
      <c r="A329" t="s">
        <v>355</v>
      </c>
      <c r="B329" s="1">
        <v>45453</v>
      </c>
      <c r="C329" t="s">
        <v>13</v>
      </c>
      <c r="D329" s="9" t="s">
        <v>14</v>
      </c>
      <c r="E329" s="2">
        <v>45594</v>
      </c>
      <c r="F329" t="b">
        <v>1</v>
      </c>
      <c r="G329" t="s">
        <v>313</v>
      </c>
      <c r="H329">
        <v>82</v>
      </c>
      <c r="I329">
        <v>26</v>
      </c>
      <c r="J329">
        <v>1</v>
      </c>
      <c r="K329">
        <v>504</v>
      </c>
      <c r="L329">
        <v>1</v>
      </c>
    </row>
    <row r="330" spans="1:12">
      <c r="A330" t="s">
        <v>356</v>
      </c>
      <c r="B330" s="1">
        <v>45453</v>
      </c>
      <c r="C330" t="s">
        <v>33</v>
      </c>
      <c r="D330" s="9" t="s">
        <v>14</v>
      </c>
      <c r="E330" s="2">
        <v>45593</v>
      </c>
      <c r="F330" t="b">
        <v>0</v>
      </c>
      <c r="G330" t="s">
        <v>313</v>
      </c>
      <c r="H330">
        <v>82</v>
      </c>
      <c r="I330">
        <v>24</v>
      </c>
      <c r="J330">
        <v>1</v>
      </c>
      <c r="K330">
        <v>504</v>
      </c>
      <c r="L330">
        <v>1</v>
      </c>
    </row>
    <row r="331" spans="1:12">
      <c r="A331" t="s">
        <v>357</v>
      </c>
      <c r="B331" s="1">
        <v>45453</v>
      </c>
      <c r="C331" t="s">
        <v>33</v>
      </c>
      <c r="D331" s="9" t="s">
        <v>14</v>
      </c>
      <c r="E331" s="2">
        <v>45586</v>
      </c>
      <c r="F331" t="b">
        <v>0</v>
      </c>
      <c r="G331" t="s">
        <v>313</v>
      </c>
      <c r="H331">
        <v>82</v>
      </c>
      <c r="I331">
        <v>28</v>
      </c>
      <c r="J331">
        <v>3</v>
      </c>
      <c r="K331">
        <v>504</v>
      </c>
      <c r="L331">
        <v>1</v>
      </c>
    </row>
    <row r="332" spans="1:12">
      <c r="A332" t="s">
        <v>358</v>
      </c>
      <c r="B332" s="1">
        <v>45453</v>
      </c>
      <c r="C332" t="s">
        <v>13</v>
      </c>
      <c r="D332" s="9" t="s">
        <v>26</v>
      </c>
      <c r="E332" s="2">
        <v>45579</v>
      </c>
      <c r="F332" t="b">
        <v>1</v>
      </c>
      <c r="G332" t="s">
        <v>313</v>
      </c>
      <c r="H332">
        <v>82</v>
      </c>
      <c r="I332">
        <v>25</v>
      </c>
      <c r="J332">
        <v>4</v>
      </c>
      <c r="K332">
        <v>504</v>
      </c>
      <c r="L332">
        <v>1</v>
      </c>
    </row>
    <row r="333" spans="1:12">
      <c r="A333" t="s">
        <v>359</v>
      </c>
      <c r="B333" s="1">
        <v>45453</v>
      </c>
      <c r="C333" t="s">
        <v>24</v>
      </c>
      <c r="D333" s="9" t="s">
        <v>14</v>
      </c>
      <c r="E333" s="2">
        <v>45579</v>
      </c>
      <c r="F333" t="b">
        <v>0</v>
      </c>
      <c r="G333" t="s">
        <v>313</v>
      </c>
      <c r="H333">
        <v>82</v>
      </c>
      <c r="I333">
        <v>7</v>
      </c>
      <c r="J333">
        <v>1</v>
      </c>
      <c r="K333">
        <v>504</v>
      </c>
      <c r="L333">
        <v>1</v>
      </c>
    </row>
    <row r="334" spans="1:12">
      <c r="A334" t="s">
        <v>360</v>
      </c>
      <c r="B334" s="1">
        <v>45454</v>
      </c>
      <c r="C334" t="s">
        <v>33</v>
      </c>
      <c r="D334" s="9" t="s">
        <v>14</v>
      </c>
      <c r="E334" s="2">
        <v>45605</v>
      </c>
      <c r="F334" t="b">
        <v>1</v>
      </c>
      <c r="G334" t="s">
        <v>313</v>
      </c>
      <c r="H334">
        <v>81</v>
      </c>
      <c r="I334">
        <v>9</v>
      </c>
      <c r="J334">
        <v>4</v>
      </c>
      <c r="K334">
        <v>503</v>
      </c>
      <c r="L334">
        <v>1</v>
      </c>
    </row>
    <row r="335" spans="1:12">
      <c r="A335" t="s">
        <v>361</v>
      </c>
      <c r="B335" s="1">
        <v>45454</v>
      </c>
      <c r="C335" t="s">
        <v>37</v>
      </c>
      <c r="D335" s="9" t="s">
        <v>14</v>
      </c>
      <c r="E335" s="2">
        <v>45605</v>
      </c>
      <c r="F335" t="b">
        <v>0</v>
      </c>
      <c r="G335" t="s">
        <v>313</v>
      </c>
      <c r="H335">
        <v>81</v>
      </c>
      <c r="I335">
        <v>12</v>
      </c>
      <c r="J335">
        <v>1</v>
      </c>
      <c r="K335">
        <v>503</v>
      </c>
      <c r="L335">
        <v>1</v>
      </c>
    </row>
    <row r="336" spans="1:12">
      <c r="A336" t="s">
        <v>362</v>
      </c>
      <c r="B336" s="1">
        <v>45454</v>
      </c>
      <c r="C336" t="s">
        <v>19</v>
      </c>
      <c r="D336" s="9" t="s">
        <v>20</v>
      </c>
      <c r="E336" s="2">
        <v>45610</v>
      </c>
      <c r="F336" t="b">
        <v>0</v>
      </c>
      <c r="G336" t="s">
        <v>313</v>
      </c>
      <c r="H336">
        <v>81</v>
      </c>
      <c r="I336">
        <v>24</v>
      </c>
      <c r="J336">
        <v>2</v>
      </c>
      <c r="K336">
        <v>503</v>
      </c>
      <c r="L336">
        <v>1</v>
      </c>
    </row>
    <row r="337" spans="1:12">
      <c r="A337" t="s">
        <v>363</v>
      </c>
      <c r="B337" s="1">
        <v>45454</v>
      </c>
      <c r="C337" t="s">
        <v>37</v>
      </c>
      <c r="D337" s="9" t="s">
        <v>14</v>
      </c>
      <c r="E337" s="2">
        <v>45625</v>
      </c>
      <c r="F337" t="b">
        <v>0</v>
      </c>
      <c r="G337" t="s">
        <v>313</v>
      </c>
      <c r="H337">
        <v>81</v>
      </c>
      <c r="I337">
        <v>17</v>
      </c>
      <c r="J337">
        <v>0</v>
      </c>
      <c r="K337">
        <v>503</v>
      </c>
      <c r="L337">
        <v>1</v>
      </c>
    </row>
    <row r="338" spans="1:12">
      <c r="A338" t="s">
        <v>364</v>
      </c>
      <c r="B338" s="1">
        <v>45454</v>
      </c>
      <c r="C338" t="s">
        <v>30</v>
      </c>
      <c r="D338" s="9" t="s">
        <v>20</v>
      </c>
      <c r="E338" s="2">
        <v>45631</v>
      </c>
      <c r="F338" t="b">
        <v>0</v>
      </c>
      <c r="G338" t="s">
        <v>313</v>
      </c>
      <c r="H338">
        <v>81</v>
      </c>
      <c r="I338">
        <v>21</v>
      </c>
      <c r="J338">
        <v>3</v>
      </c>
      <c r="K338">
        <v>503</v>
      </c>
      <c r="L338">
        <v>1</v>
      </c>
    </row>
    <row r="339" spans="1:12">
      <c r="A339" t="s">
        <v>365</v>
      </c>
      <c r="B339" s="1">
        <v>45454</v>
      </c>
      <c r="C339" t="s">
        <v>33</v>
      </c>
      <c r="D339" s="9" t="s">
        <v>14</v>
      </c>
      <c r="E339" s="2">
        <v>45608</v>
      </c>
      <c r="F339" t="b">
        <v>0</v>
      </c>
      <c r="G339" t="s">
        <v>313</v>
      </c>
      <c r="H339">
        <v>81</v>
      </c>
      <c r="I339">
        <v>9</v>
      </c>
      <c r="J339">
        <v>0</v>
      </c>
      <c r="K339">
        <v>503</v>
      </c>
      <c r="L339">
        <v>1</v>
      </c>
    </row>
    <row r="340" spans="1:12">
      <c r="A340" t="s">
        <v>366</v>
      </c>
      <c r="B340" s="1">
        <v>45454</v>
      </c>
      <c r="C340" t="s">
        <v>19</v>
      </c>
      <c r="D340" s="9" t="s">
        <v>26</v>
      </c>
      <c r="E340" s="2">
        <v>45625</v>
      </c>
      <c r="F340" t="b">
        <v>1</v>
      </c>
      <c r="G340" t="s">
        <v>313</v>
      </c>
      <c r="H340">
        <v>81</v>
      </c>
      <c r="I340">
        <v>11</v>
      </c>
      <c r="J340">
        <v>3</v>
      </c>
      <c r="K340">
        <v>503</v>
      </c>
      <c r="L340">
        <v>1</v>
      </c>
    </row>
    <row r="341" spans="1:12">
      <c r="A341" t="s">
        <v>367</v>
      </c>
      <c r="B341" s="1">
        <v>45455</v>
      </c>
      <c r="C341" t="s">
        <v>13</v>
      </c>
      <c r="D341" s="9" t="s">
        <v>26</v>
      </c>
      <c r="E341" s="2">
        <v>45645</v>
      </c>
      <c r="F341" t="b">
        <v>1</v>
      </c>
      <c r="G341" t="s">
        <v>313</v>
      </c>
      <c r="H341">
        <v>80</v>
      </c>
      <c r="I341">
        <v>17</v>
      </c>
      <c r="J341">
        <v>5</v>
      </c>
      <c r="K341">
        <v>502</v>
      </c>
      <c r="L341">
        <v>1</v>
      </c>
    </row>
    <row r="342" spans="1:12">
      <c r="A342" t="s">
        <v>368</v>
      </c>
      <c r="B342" s="1">
        <v>45455</v>
      </c>
      <c r="C342" t="s">
        <v>33</v>
      </c>
      <c r="D342" s="9" t="s">
        <v>26</v>
      </c>
      <c r="E342" s="2">
        <v>45641</v>
      </c>
      <c r="F342" t="b">
        <v>1</v>
      </c>
      <c r="G342" t="s">
        <v>313</v>
      </c>
      <c r="H342">
        <v>80</v>
      </c>
      <c r="I342">
        <v>21</v>
      </c>
      <c r="J342">
        <v>1</v>
      </c>
      <c r="K342">
        <v>502</v>
      </c>
      <c r="L342">
        <v>1</v>
      </c>
    </row>
    <row r="343" spans="1:12">
      <c r="A343" t="s">
        <v>369</v>
      </c>
      <c r="B343" s="1">
        <v>45455</v>
      </c>
      <c r="C343" t="s">
        <v>33</v>
      </c>
      <c r="D343" s="9" t="s">
        <v>14</v>
      </c>
      <c r="E343" s="2">
        <v>45646</v>
      </c>
      <c r="F343" t="b">
        <v>0</v>
      </c>
      <c r="G343" t="s">
        <v>313</v>
      </c>
      <c r="H343">
        <v>80</v>
      </c>
      <c r="I343">
        <v>19</v>
      </c>
      <c r="J343">
        <v>4</v>
      </c>
      <c r="K343">
        <v>502</v>
      </c>
      <c r="L343">
        <v>1</v>
      </c>
    </row>
    <row r="344" spans="1:12">
      <c r="A344" t="s">
        <v>370</v>
      </c>
      <c r="B344" s="1">
        <v>45455</v>
      </c>
      <c r="C344" t="s">
        <v>13</v>
      </c>
      <c r="D344" s="9" t="s">
        <v>26</v>
      </c>
      <c r="E344" s="2">
        <v>45655</v>
      </c>
      <c r="F344" t="b">
        <v>1</v>
      </c>
      <c r="G344" t="s">
        <v>313</v>
      </c>
      <c r="H344">
        <v>80</v>
      </c>
      <c r="I344">
        <v>9</v>
      </c>
      <c r="J344">
        <v>1</v>
      </c>
      <c r="K344">
        <v>502</v>
      </c>
      <c r="L344">
        <v>1</v>
      </c>
    </row>
    <row r="345" spans="1:12">
      <c r="A345" t="s">
        <v>371</v>
      </c>
      <c r="B345" s="1">
        <v>45455</v>
      </c>
      <c r="C345" t="s">
        <v>30</v>
      </c>
      <c r="D345" s="9" t="s">
        <v>14</v>
      </c>
      <c r="E345" s="2">
        <v>45658</v>
      </c>
      <c r="F345" t="b">
        <v>0</v>
      </c>
      <c r="G345" t="s">
        <v>313</v>
      </c>
      <c r="H345">
        <v>80</v>
      </c>
      <c r="I345">
        <v>14</v>
      </c>
      <c r="J345">
        <v>0</v>
      </c>
      <c r="K345">
        <v>502</v>
      </c>
      <c r="L345">
        <v>1</v>
      </c>
    </row>
    <row r="346" spans="1:12">
      <c r="A346" t="s">
        <v>372</v>
      </c>
      <c r="B346" s="1">
        <v>45455</v>
      </c>
      <c r="C346" t="s">
        <v>37</v>
      </c>
      <c r="D346" s="9" t="s">
        <v>14</v>
      </c>
      <c r="E346" s="2">
        <v>45651</v>
      </c>
      <c r="F346" t="b">
        <v>0</v>
      </c>
      <c r="G346" t="s">
        <v>313</v>
      </c>
      <c r="H346">
        <v>80</v>
      </c>
      <c r="I346">
        <v>9</v>
      </c>
      <c r="J346">
        <v>2</v>
      </c>
      <c r="K346">
        <v>502</v>
      </c>
      <c r="L346">
        <v>1</v>
      </c>
    </row>
    <row r="347" spans="1:12">
      <c r="A347" t="s">
        <v>373</v>
      </c>
      <c r="B347" s="1">
        <v>45361</v>
      </c>
      <c r="C347" t="s">
        <v>19</v>
      </c>
      <c r="D347" s="9" t="s">
        <v>14</v>
      </c>
      <c r="E347" s="2">
        <v>45514</v>
      </c>
      <c r="F347" t="b">
        <v>1</v>
      </c>
      <c r="G347" t="s">
        <v>313</v>
      </c>
      <c r="H347">
        <v>79</v>
      </c>
      <c r="I347">
        <v>21</v>
      </c>
      <c r="J347">
        <v>1</v>
      </c>
      <c r="K347">
        <v>596</v>
      </c>
      <c r="L347">
        <v>1</v>
      </c>
    </row>
    <row r="348" spans="1:12">
      <c r="A348" t="s">
        <v>374</v>
      </c>
      <c r="B348" s="1">
        <v>45418</v>
      </c>
      <c r="C348" t="s">
        <v>22</v>
      </c>
      <c r="D348" s="9" t="s">
        <v>26</v>
      </c>
      <c r="E348" s="2">
        <v>45513</v>
      </c>
      <c r="F348" t="b">
        <v>1</v>
      </c>
      <c r="G348" t="s">
        <v>313</v>
      </c>
      <c r="H348">
        <v>79</v>
      </c>
      <c r="I348">
        <v>22</v>
      </c>
      <c r="J348">
        <v>1</v>
      </c>
      <c r="K348">
        <v>539</v>
      </c>
      <c r="L348">
        <v>1</v>
      </c>
    </row>
    <row r="349" spans="1:12">
      <c r="A349" t="s">
        <v>375</v>
      </c>
      <c r="B349" s="1">
        <v>45404.063194444447</v>
      </c>
      <c r="C349" t="s">
        <v>30</v>
      </c>
      <c r="D349" s="9" t="s">
        <v>14</v>
      </c>
      <c r="E349" s="2">
        <v>45523</v>
      </c>
      <c r="F349" t="b">
        <v>0</v>
      </c>
      <c r="G349" t="s">
        <v>313</v>
      </c>
      <c r="H349">
        <v>79</v>
      </c>
      <c r="I349">
        <v>10</v>
      </c>
      <c r="J349">
        <v>1</v>
      </c>
      <c r="K349">
        <v>620</v>
      </c>
      <c r="L349">
        <v>2</v>
      </c>
    </row>
    <row r="350" spans="1:12">
      <c r="A350" t="s">
        <v>376</v>
      </c>
      <c r="B350" s="1">
        <v>45451</v>
      </c>
      <c r="C350" t="s">
        <v>37</v>
      </c>
      <c r="D350" s="9" t="s">
        <v>14</v>
      </c>
      <c r="E350" s="2">
        <v>45524</v>
      </c>
      <c r="F350" t="b">
        <v>0</v>
      </c>
      <c r="G350" t="s">
        <v>313</v>
      </c>
      <c r="H350">
        <v>79</v>
      </c>
      <c r="I350">
        <v>23</v>
      </c>
      <c r="J350">
        <v>1</v>
      </c>
      <c r="K350">
        <v>506</v>
      </c>
      <c r="L350">
        <v>1</v>
      </c>
    </row>
    <row r="351" spans="1:12">
      <c r="A351" t="s">
        <v>377</v>
      </c>
      <c r="B351" s="1">
        <v>45365.843055555553</v>
      </c>
      <c r="C351" t="s">
        <v>13</v>
      </c>
      <c r="D351" s="9" t="s">
        <v>17</v>
      </c>
      <c r="E351" s="2">
        <v>45516</v>
      </c>
      <c r="F351" t="b">
        <v>1</v>
      </c>
      <c r="G351" t="s">
        <v>313</v>
      </c>
      <c r="H351">
        <v>79</v>
      </c>
      <c r="I351">
        <v>19</v>
      </c>
      <c r="J351">
        <v>11</v>
      </c>
      <c r="K351">
        <v>444</v>
      </c>
      <c r="L351">
        <v>0</v>
      </c>
    </row>
    <row r="352" spans="1:12">
      <c r="A352" t="s">
        <v>378</v>
      </c>
      <c r="B352" s="1">
        <v>45423</v>
      </c>
      <c r="C352" t="s">
        <v>19</v>
      </c>
      <c r="D352" s="9" t="s">
        <v>14</v>
      </c>
      <c r="E352" s="2">
        <v>45511</v>
      </c>
      <c r="F352" t="b">
        <v>0</v>
      </c>
      <c r="G352" t="s">
        <v>313</v>
      </c>
      <c r="H352">
        <v>78</v>
      </c>
      <c r="I352">
        <v>28</v>
      </c>
      <c r="J352">
        <v>1</v>
      </c>
      <c r="K352">
        <v>534</v>
      </c>
      <c r="L352">
        <v>1</v>
      </c>
    </row>
    <row r="353" spans="1:12">
      <c r="A353" t="s">
        <v>379</v>
      </c>
      <c r="B353" s="1">
        <v>45356</v>
      </c>
      <c r="C353" t="s">
        <v>30</v>
      </c>
      <c r="D353" s="9" t="s">
        <v>26</v>
      </c>
      <c r="E353" s="2">
        <v>45533</v>
      </c>
      <c r="F353" t="b">
        <v>1</v>
      </c>
      <c r="G353" t="s">
        <v>313</v>
      </c>
      <c r="H353">
        <v>78</v>
      </c>
      <c r="I353">
        <v>2</v>
      </c>
      <c r="J353">
        <v>1</v>
      </c>
      <c r="K353">
        <v>601</v>
      </c>
      <c r="L353">
        <v>1</v>
      </c>
    </row>
    <row r="354" spans="1:12">
      <c r="A354" t="s">
        <v>380</v>
      </c>
      <c r="B354" s="1">
        <v>45600</v>
      </c>
      <c r="C354" t="s">
        <v>13</v>
      </c>
      <c r="D354" s="9" t="s">
        <v>14</v>
      </c>
      <c r="E354" s="2">
        <v>45530</v>
      </c>
      <c r="F354" t="b">
        <v>0</v>
      </c>
      <c r="G354" t="s">
        <v>313</v>
      </c>
      <c r="H354">
        <v>78</v>
      </c>
      <c r="I354">
        <v>30</v>
      </c>
      <c r="J354">
        <v>1</v>
      </c>
      <c r="K354">
        <v>357</v>
      </c>
      <c r="L354">
        <v>1</v>
      </c>
    </row>
    <row r="355" spans="1:12">
      <c r="A355" t="s">
        <v>381</v>
      </c>
      <c r="B355" s="1">
        <v>45505.736111111109</v>
      </c>
      <c r="C355" t="s">
        <v>33</v>
      </c>
      <c r="D355" s="9" t="s">
        <v>14</v>
      </c>
      <c r="E355" s="2">
        <v>45526</v>
      </c>
      <c r="F355" t="b">
        <v>0</v>
      </c>
      <c r="G355" t="s">
        <v>313</v>
      </c>
      <c r="H355">
        <v>78</v>
      </c>
      <c r="I355">
        <v>27</v>
      </c>
      <c r="J355">
        <v>1</v>
      </c>
      <c r="K355">
        <v>344</v>
      </c>
      <c r="L355">
        <v>2</v>
      </c>
    </row>
    <row r="356" spans="1:12">
      <c r="A356" t="s">
        <v>382</v>
      </c>
      <c r="B356" s="1">
        <v>45570</v>
      </c>
      <c r="C356" t="s">
        <v>37</v>
      </c>
      <c r="D356" s="9" t="s">
        <v>14</v>
      </c>
      <c r="E356" s="2">
        <v>45513</v>
      </c>
      <c r="F356" t="b">
        <v>1</v>
      </c>
      <c r="G356" t="s">
        <v>313</v>
      </c>
      <c r="H356">
        <v>78</v>
      </c>
      <c r="I356">
        <v>22</v>
      </c>
      <c r="J356">
        <v>1</v>
      </c>
      <c r="K356">
        <v>387</v>
      </c>
      <c r="L356">
        <v>1</v>
      </c>
    </row>
    <row r="357" spans="1:12">
      <c r="A357" t="s">
        <v>383</v>
      </c>
      <c r="B357" s="1">
        <v>45501.938888888886</v>
      </c>
      <c r="C357" t="s">
        <v>37</v>
      </c>
      <c r="D357" s="9" t="s">
        <v>26</v>
      </c>
      <c r="E357" s="2">
        <v>45516</v>
      </c>
      <c r="F357" t="b">
        <v>0</v>
      </c>
      <c r="G357" t="s">
        <v>313</v>
      </c>
      <c r="H357">
        <v>77</v>
      </c>
      <c r="I357">
        <v>24</v>
      </c>
      <c r="J357">
        <v>6</v>
      </c>
      <c r="K357">
        <v>385</v>
      </c>
      <c r="L357">
        <v>2</v>
      </c>
    </row>
    <row r="358" spans="1:12">
      <c r="A358" t="s">
        <v>384</v>
      </c>
      <c r="B358" s="1">
        <v>45498.063194444447</v>
      </c>
      <c r="C358" t="s">
        <v>37</v>
      </c>
      <c r="D358" s="9" t="s">
        <v>20</v>
      </c>
      <c r="E358" s="2">
        <v>45523</v>
      </c>
      <c r="F358" t="b">
        <v>1</v>
      </c>
      <c r="G358" t="s">
        <v>313</v>
      </c>
      <c r="H358">
        <v>77</v>
      </c>
      <c r="I358">
        <v>12</v>
      </c>
      <c r="J358">
        <v>4</v>
      </c>
      <c r="K358">
        <v>441</v>
      </c>
      <c r="L358">
        <v>2</v>
      </c>
    </row>
    <row r="359" spans="1:12">
      <c r="A359" t="s">
        <v>385</v>
      </c>
      <c r="B359" s="1">
        <v>45337.943055555559</v>
      </c>
      <c r="C359" t="s">
        <v>37</v>
      </c>
      <c r="D359" s="9" t="s">
        <v>26</v>
      </c>
      <c r="E359" s="2">
        <v>45508</v>
      </c>
      <c r="F359" t="b">
        <v>1</v>
      </c>
      <c r="G359" t="s">
        <v>313</v>
      </c>
      <c r="H359">
        <v>77</v>
      </c>
      <c r="I359">
        <v>27</v>
      </c>
      <c r="J359">
        <v>1</v>
      </c>
      <c r="K359">
        <v>659</v>
      </c>
      <c r="L359">
        <v>2</v>
      </c>
    </row>
    <row r="360" spans="1:12">
      <c r="A360" t="s">
        <v>386</v>
      </c>
      <c r="B360" s="1">
        <v>45538</v>
      </c>
      <c r="C360" t="s">
        <v>33</v>
      </c>
      <c r="D360" s="9" t="s">
        <v>14</v>
      </c>
      <c r="E360" s="2">
        <v>45533</v>
      </c>
      <c r="F360" t="b">
        <v>0</v>
      </c>
      <c r="G360" t="s">
        <v>313</v>
      </c>
      <c r="H360">
        <v>77</v>
      </c>
      <c r="I360">
        <v>12</v>
      </c>
      <c r="J360">
        <v>1</v>
      </c>
      <c r="K360">
        <v>419</v>
      </c>
      <c r="L360">
        <v>1</v>
      </c>
    </row>
    <row r="361" spans="1:12">
      <c r="A361" t="s">
        <v>387</v>
      </c>
      <c r="B361" s="1">
        <v>45582.759722222225</v>
      </c>
      <c r="C361" t="s">
        <v>37</v>
      </c>
      <c r="D361" s="9" t="s">
        <v>14</v>
      </c>
      <c r="E361" s="2">
        <v>45518</v>
      </c>
      <c r="F361" t="b">
        <v>0</v>
      </c>
      <c r="G361" t="s">
        <v>313</v>
      </c>
      <c r="H361">
        <v>77</v>
      </c>
      <c r="I361">
        <v>16</v>
      </c>
      <c r="J361">
        <v>1</v>
      </c>
      <c r="K361">
        <v>569</v>
      </c>
      <c r="L361">
        <v>2</v>
      </c>
    </row>
    <row r="362" spans="1:12">
      <c r="A362" t="s">
        <v>388</v>
      </c>
      <c r="B362" s="1">
        <v>45383</v>
      </c>
      <c r="C362" t="s">
        <v>24</v>
      </c>
      <c r="D362" s="9" t="s">
        <v>14</v>
      </c>
      <c r="E362" s="2">
        <v>45531</v>
      </c>
      <c r="F362" t="b">
        <v>1</v>
      </c>
      <c r="G362" t="s">
        <v>313</v>
      </c>
      <c r="H362">
        <v>76</v>
      </c>
      <c r="I362">
        <v>4</v>
      </c>
      <c r="J362">
        <v>4</v>
      </c>
      <c r="K362">
        <v>574</v>
      </c>
      <c r="L362">
        <v>1</v>
      </c>
    </row>
    <row r="363" spans="1:12">
      <c r="A363" t="s">
        <v>389</v>
      </c>
      <c r="B363" s="1">
        <v>45329</v>
      </c>
      <c r="C363" t="s">
        <v>19</v>
      </c>
      <c r="D363" s="9" t="s">
        <v>14</v>
      </c>
      <c r="E363" s="2">
        <v>45533</v>
      </c>
      <c r="F363" t="b">
        <v>1</v>
      </c>
      <c r="G363" t="s">
        <v>313</v>
      </c>
      <c r="H363">
        <v>76</v>
      </c>
      <c r="I363">
        <v>2</v>
      </c>
      <c r="J363">
        <v>1</v>
      </c>
      <c r="K363">
        <v>628</v>
      </c>
      <c r="L363">
        <v>1</v>
      </c>
    </row>
    <row r="364" spans="1:12">
      <c r="A364" t="s">
        <v>390</v>
      </c>
      <c r="B364" s="1">
        <v>45296</v>
      </c>
      <c r="C364" t="s">
        <v>24</v>
      </c>
      <c r="D364" s="9" t="s">
        <v>20</v>
      </c>
      <c r="E364" s="2">
        <v>45532</v>
      </c>
      <c r="F364" t="b">
        <v>0</v>
      </c>
      <c r="G364" t="s">
        <v>313</v>
      </c>
      <c r="H364">
        <v>76</v>
      </c>
      <c r="I364">
        <v>18</v>
      </c>
      <c r="J364">
        <v>3</v>
      </c>
      <c r="K364">
        <v>661</v>
      </c>
      <c r="L364">
        <v>1</v>
      </c>
    </row>
    <row r="365" spans="1:12">
      <c r="A365" t="s">
        <v>391</v>
      </c>
      <c r="B365" s="1">
        <v>45427.272916666669</v>
      </c>
      <c r="C365" t="s">
        <v>13</v>
      </c>
      <c r="D365" s="9" t="s">
        <v>14</v>
      </c>
      <c r="E365" s="2">
        <v>45510</v>
      </c>
      <c r="F365" t="b">
        <v>0</v>
      </c>
      <c r="G365" t="s">
        <v>313</v>
      </c>
      <c r="H365">
        <v>76</v>
      </c>
      <c r="I365">
        <v>22</v>
      </c>
      <c r="J365">
        <v>3</v>
      </c>
      <c r="K365">
        <v>509</v>
      </c>
      <c r="L365">
        <v>2</v>
      </c>
    </row>
    <row r="366" spans="1:12">
      <c r="A366" t="s">
        <v>392</v>
      </c>
      <c r="B366" s="1">
        <v>45579.718055555553</v>
      </c>
      <c r="C366" t="s">
        <v>24</v>
      </c>
      <c r="D366" s="9" t="s">
        <v>20</v>
      </c>
      <c r="E366" s="2">
        <v>45522</v>
      </c>
      <c r="F366" t="b">
        <v>1</v>
      </c>
      <c r="G366" t="s">
        <v>313</v>
      </c>
      <c r="H366">
        <v>76</v>
      </c>
      <c r="I366">
        <v>13</v>
      </c>
      <c r="J366">
        <v>4</v>
      </c>
      <c r="K366">
        <v>374</v>
      </c>
      <c r="L366">
        <v>2</v>
      </c>
    </row>
    <row r="367" spans="1:12">
      <c r="A367" t="s">
        <v>393</v>
      </c>
      <c r="B367" s="1">
        <v>45295.845833333333</v>
      </c>
      <c r="C367" t="s">
        <v>13</v>
      </c>
      <c r="D367" s="9" t="s">
        <v>14</v>
      </c>
      <c r="E367" s="2">
        <v>45521</v>
      </c>
      <c r="F367" t="b">
        <v>0</v>
      </c>
      <c r="G367" t="s">
        <v>313</v>
      </c>
      <c r="H367">
        <v>76</v>
      </c>
      <c r="I367">
        <v>16</v>
      </c>
      <c r="J367">
        <v>1</v>
      </c>
      <c r="K367">
        <v>433</v>
      </c>
      <c r="L367">
        <v>2</v>
      </c>
    </row>
    <row r="368" spans="1:12">
      <c r="A368" t="s">
        <v>394</v>
      </c>
      <c r="B368" s="1">
        <v>45485</v>
      </c>
      <c r="C368" t="s">
        <v>37</v>
      </c>
      <c r="D368" s="9" t="s">
        <v>17</v>
      </c>
      <c r="E368" s="2">
        <v>45518</v>
      </c>
      <c r="F368" t="b">
        <v>1</v>
      </c>
      <c r="G368" t="s">
        <v>313</v>
      </c>
      <c r="H368">
        <v>76</v>
      </c>
      <c r="I368">
        <v>17</v>
      </c>
      <c r="J368">
        <v>7</v>
      </c>
      <c r="K368">
        <v>472</v>
      </c>
      <c r="L368">
        <v>1</v>
      </c>
    </row>
    <row r="369" spans="1:12">
      <c r="A369" t="s">
        <v>395</v>
      </c>
      <c r="B369" s="1">
        <v>45527.948611111111</v>
      </c>
      <c r="C369" t="s">
        <v>13</v>
      </c>
      <c r="D369" s="9" t="s">
        <v>14</v>
      </c>
      <c r="E369" s="2">
        <v>45527</v>
      </c>
      <c r="F369" t="b">
        <v>0</v>
      </c>
      <c r="G369" t="s">
        <v>313</v>
      </c>
      <c r="H369">
        <v>75</v>
      </c>
      <c r="I369">
        <v>27</v>
      </c>
      <c r="J369">
        <v>5</v>
      </c>
      <c r="K369">
        <v>494</v>
      </c>
      <c r="L369">
        <v>2</v>
      </c>
    </row>
    <row r="370" spans="1:12">
      <c r="A370" t="s">
        <v>396</v>
      </c>
      <c r="B370" s="1">
        <v>45541.5</v>
      </c>
      <c r="C370" t="s">
        <v>37</v>
      </c>
      <c r="D370" s="9" t="s">
        <v>26</v>
      </c>
      <c r="E370" s="2">
        <v>45508</v>
      </c>
      <c r="F370" t="b">
        <v>1</v>
      </c>
      <c r="G370" t="s">
        <v>313</v>
      </c>
      <c r="H370">
        <v>75</v>
      </c>
      <c r="I370">
        <v>27</v>
      </c>
      <c r="J370">
        <v>2</v>
      </c>
      <c r="K370">
        <v>471</v>
      </c>
      <c r="L370">
        <v>2</v>
      </c>
    </row>
    <row r="371" spans="1:12">
      <c r="A371" t="s">
        <v>397</v>
      </c>
      <c r="B371" s="1">
        <v>45546.607638888891</v>
      </c>
      <c r="C371" t="s">
        <v>30</v>
      </c>
      <c r="D371" s="9" t="s">
        <v>26</v>
      </c>
      <c r="E371" s="2">
        <v>45534</v>
      </c>
      <c r="F371" t="b">
        <v>0</v>
      </c>
      <c r="G371" t="s">
        <v>313</v>
      </c>
      <c r="H371">
        <v>75</v>
      </c>
      <c r="I371">
        <v>14</v>
      </c>
      <c r="J371">
        <v>3</v>
      </c>
      <c r="K371">
        <v>447</v>
      </c>
      <c r="L371">
        <v>2</v>
      </c>
    </row>
    <row r="372" spans="1:12">
      <c r="A372" t="s">
        <v>398</v>
      </c>
      <c r="B372" s="1">
        <v>45440.048611111109</v>
      </c>
      <c r="C372" t="s">
        <v>37</v>
      </c>
      <c r="D372" s="9" t="s">
        <v>26</v>
      </c>
      <c r="E372" s="2">
        <v>45514</v>
      </c>
      <c r="F372" t="b">
        <v>1</v>
      </c>
      <c r="G372" t="s">
        <v>313</v>
      </c>
      <c r="H372">
        <v>75</v>
      </c>
      <c r="I372">
        <v>21</v>
      </c>
      <c r="J372">
        <v>2</v>
      </c>
      <c r="K372">
        <v>506</v>
      </c>
      <c r="L372">
        <v>2</v>
      </c>
    </row>
    <row r="373" spans="1:12">
      <c r="A373" t="s">
        <v>399</v>
      </c>
      <c r="B373" s="1">
        <v>45571.649305555555</v>
      </c>
      <c r="C373" t="s">
        <v>19</v>
      </c>
      <c r="D373" s="9" t="s">
        <v>14</v>
      </c>
      <c r="E373" s="2">
        <v>45507</v>
      </c>
      <c r="F373" t="b">
        <v>1</v>
      </c>
      <c r="G373" t="s">
        <v>313</v>
      </c>
      <c r="H373">
        <v>75</v>
      </c>
      <c r="I373">
        <v>28</v>
      </c>
      <c r="J373">
        <v>2</v>
      </c>
      <c r="K373">
        <v>419</v>
      </c>
      <c r="L373">
        <v>2</v>
      </c>
    </row>
    <row r="374" spans="1:12">
      <c r="A374" t="s">
        <v>400</v>
      </c>
      <c r="B374" s="1">
        <v>45569</v>
      </c>
      <c r="C374" t="s">
        <v>30</v>
      </c>
      <c r="D374" s="9" t="s">
        <v>20</v>
      </c>
      <c r="E374" s="2">
        <v>45513</v>
      </c>
      <c r="F374" t="b">
        <v>1</v>
      </c>
      <c r="G374" t="s">
        <v>313</v>
      </c>
      <c r="H374">
        <v>74</v>
      </c>
      <c r="I374">
        <v>22</v>
      </c>
      <c r="J374">
        <v>3</v>
      </c>
      <c r="K374">
        <v>388</v>
      </c>
      <c r="L374">
        <v>1</v>
      </c>
    </row>
    <row r="375" spans="1:12">
      <c r="A375" t="s">
        <v>401</v>
      </c>
      <c r="B375" s="1">
        <v>45394</v>
      </c>
      <c r="C375" t="s">
        <v>13</v>
      </c>
      <c r="D375" s="9" t="s">
        <v>26</v>
      </c>
      <c r="E375" s="2">
        <v>45532</v>
      </c>
      <c r="F375" t="b">
        <v>1</v>
      </c>
      <c r="G375" t="s">
        <v>313</v>
      </c>
      <c r="H375">
        <v>74</v>
      </c>
      <c r="I375">
        <v>3</v>
      </c>
      <c r="J375">
        <v>6</v>
      </c>
      <c r="K375">
        <v>563</v>
      </c>
      <c r="L375">
        <v>1</v>
      </c>
    </row>
    <row r="376" spans="1:12">
      <c r="A376" t="s">
        <v>402</v>
      </c>
      <c r="B376" s="1">
        <v>45592.26458333333</v>
      </c>
      <c r="C376" t="s">
        <v>24</v>
      </c>
      <c r="D376" s="9" t="s">
        <v>26</v>
      </c>
      <c r="E376" s="2">
        <v>45507</v>
      </c>
      <c r="F376" t="b">
        <v>1</v>
      </c>
      <c r="G376" t="s">
        <v>313</v>
      </c>
      <c r="H376">
        <v>74</v>
      </c>
      <c r="I376">
        <v>28</v>
      </c>
      <c r="J376">
        <v>7</v>
      </c>
      <c r="K376">
        <v>329</v>
      </c>
      <c r="L376">
        <v>2</v>
      </c>
    </row>
    <row r="377" spans="1:12">
      <c r="A377" t="s">
        <v>403</v>
      </c>
      <c r="B377" s="1">
        <v>45343.120833333334</v>
      </c>
      <c r="C377" t="s">
        <v>33</v>
      </c>
      <c r="D377" s="9" t="s">
        <v>26</v>
      </c>
      <c r="E377" s="2">
        <v>45521</v>
      </c>
      <c r="F377" t="b">
        <v>1</v>
      </c>
      <c r="G377" t="s">
        <v>313</v>
      </c>
      <c r="H377">
        <v>74</v>
      </c>
      <c r="I377">
        <v>14</v>
      </c>
      <c r="J377">
        <v>3</v>
      </c>
      <c r="K377">
        <v>393</v>
      </c>
      <c r="L377">
        <v>2</v>
      </c>
    </row>
    <row r="378" spans="1:12">
      <c r="A378" t="s">
        <v>404</v>
      </c>
      <c r="B378" s="1">
        <v>45418</v>
      </c>
      <c r="C378" t="s">
        <v>19</v>
      </c>
      <c r="D378" s="9" t="s">
        <v>26</v>
      </c>
      <c r="E378" s="2">
        <v>45514</v>
      </c>
      <c r="F378" t="b">
        <v>1</v>
      </c>
      <c r="G378" t="s">
        <v>313</v>
      </c>
      <c r="H378">
        <v>74</v>
      </c>
      <c r="I378">
        <v>21</v>
      </c>
      <c r="J378">
        <v>3</v>
      </c>
      <c r="K378">
        <v>539</v>
      </c>
      <c r="L378">
        <v>1</v>
      </c>
    </row>
    <row r="379" spans="1:12">
      <c r="A379" t="s">
        <v>405</v>
      </c>
      <c r="B379" s="1">
        <v>45514</v>
      </c>
      <c r="C379" t="s">
        <v>24</v>
      </c>
      <c r="D379" s="9" t="s">
        <v>17</v>
      </c>
      <c r="E379" s="2">
        <v>45534</v>
      </c>
      <c r="F379" t="b">
        <v>0</v>
      </c>
      <c r="G379" t="s">
        <v>313</v>
      </c>
      <c r="H379">
        <v>74</v>
      </c>
      <c r="I379">
        <v>8</v>
      </c>
      <c r="J379">
        <v>11</v>
      </c>
      <c r="K379">
        <v>443</v>
      </c>
      <c r="L379">
        <v>0</v>
      </c>
    </row>
    <row r="380" spans="1:12">
      <c r="A380" t="s">
        <v>406</v>
      </c>
      <c r="B380" s="1">
        <v>45452</v>
      </c>
      <c r="C380" t="s">
        <v>22</v>
      </c>
      <c r="D380" s="9" t="s">
        <v>14</v>
      </c>
      <c r="E380" s="2">
        <v>45507</v>
      </c>
      <c r="F380" t="b">
        <v>0</v>
      </c>
      <c r="G380" t="s">
        <v>313</v>
      </c>
      <c r="H380">
        <v>74</v>
      </c>
      <c r="I380">
        <v>12</v>
      </c>
      <c r="J380">
        <v>1</v>
      </c>
      <c r="K380">
        <v>505</v>
      </c>
      <c r="L380">
        <v>1</v>
      </c>
    </row>
    <row r="381" spans="1:12">
      <c r="A381" t="s">
        <v>407</v>
      </c>
      <c r="B381" s="1">
        <v>45450</v>
      </c>
      <c r="C381" t="s">
        <v>33</v>
      </c>
      <c r="D381" s="9" t="s">
        <v>14</v>
      </c>
      <c r="E381" s="2">
        <v>45507</v>
      </c>
      <c r="F381" t="b">
        <v>0</v>
      </c>
      <c r="G381" t="s">
        <v>313</v>
      </c>
      <c r="H381">
        <v>74</v>
      </c>
      <c r="I381">
        <v>24</v>
      </c>
      <c r="J381">
        <v>1</v>
      </c>
      <c r="K381">
        <v>507</v>
      </c>
      <c r="L381">
        <v>1</v>
      </c>
    </row>
    <row r="382" spans="1:12">
      <c r="A382" t="s">
        <v>408</v>
      </c>
      <c r="B382" s="1">
        <v>45417</v>
      </c>
      <c r="C382" t="s">
        <v>33</v>
      </c>
      <c r="D382" s="9" t="s">
        <v>26</v>
      </c>
      <c r="E382" s="2">
        <v>45507</v>
      </c>
      <c r="F382" t="b">
        <v>1</v>
      </c>
      <c r="G382" t="s">
        <v>313</v>
      </c>
      <c r="H382">
        <v>73</v>
      </c>
      <c r="I382">
        <v>28</v>
      </c>
      <c r="J382">
        <v>2</v>
      </c>
      <c r="K382">
        <v>540</v>
      </c>
      <c r="L382">
        <v>1</v>
      </c>
    </row>
    <row r="383" spans="1:12">
      <c r="A383" t="s">
        <v>409</v>
      </c>
      <c r="B383" s="1">
        <v>45630</v>
      </c>
      <c r="C383" t="s">
        <v>13</v>
      </c>
      <c r="D383" s="9" t="s">
        <v>26</v>
      </c>
      <c r="E383" s="2">
        <v>45515</v>
      </c>
      <c r="F383" t="b">
        <v>1</v>
      </c>
      <c r="G383" t="s">
        <v>313</v>
      </c>
      <c r="H383">
        <v>73</v>
      </c>
      <c r="I383">
        <v>20</v>
      </c>
      <c r="J383">
        <v>2</v>
      </c>
      <c r="K383">
        <v>327</v>
      </c>
      <c r="L383">
        <v>1</v>
      </c>
    </row>
    <row r="384" spans="1:12">
      <c r="A384" t="s">
        <v>410</v>
      </c>
      <c r="B384" s="1">
        <v>45384</v>
      </c>
      <c r="C384" t="s">
        <v>30</v>
      </c>
      <c r="D384" s="9" t="s">
        <v>26</v>
      </c>
      <c r="E384" s="2">
        <v>45521</v>
      </c>
      <c r="F384" t="b">
        <v>1</v>
      </c>
      <c r="G384" t="s">
        <v>313</v>
      </c>
      <c r="H384">
        <v>73</v>
      </c>
      <c r="I384">
        <v>14</v>
      </c>
      <c r="J384">
        <v>9</v>
      </c>
      <c r="K384">
        <v>573</v>
      </c>
      <c r="L384">
        <v>0</v>
      </c>
    </row>
    <row r="385" spans="1:12">
      <c r="A385" t="s">
        <v>411</v>
      </c>
      <c r="B385" s="1">
        <v>45475</v>
      </c>
      <c r="C385" t="s">
        <v>13</v>
      </c>
      <c r="D385" s="9" t="s">
        <v>14</v>
      </c>
      <c r="E385" s="2">
        <v>45511</v>
      </c>
      <c r="F385" t="b">
        <v>0</v>
      </c>
      <c r="G385" t="s">
        <v>313</v>
      </c>
      <c r="H385">
        <v>73</v>
      </c>
      <c r="I385">
        <v>10</v>
      </c>
      <c r="J385">
        <v>1</v>
      </c>
      <c r="K385">
        <v>482</v>
      </c>
      <c r="L385">
        <v>1</v>
      </c>
    </row>
    <row r="386" spans="1:12">
      <c r="A386" t="s">
        <v>412</v>
      </c>
      <c r="B386" s="1">
        <v>45547.46597222222</v>
      </c>
      <c r="C386" t="s">
        <v>22</v>
      </c>
      <c r="D386" s="9" t="s">
        <v>14</v>
      </c>
      <c r="E386" s="2">
        <v>45507</v>
      </c>
      <c r="F386" t="b">
        <v>1</v>
      </c>
      <c r="G386" t="s">
        <v>313</v>
      </c>
      <c r="H386">
        <v>73</v>
      </c>
      <c r="I386">
        <v>28</v>
      </c>
      <c r="J386">
        <v>1</v>
      </c>
      <c r="K386">
        <v>409</v>
      </c>
      <c r="L386">
        <v>2</v>
      </c>
    </row>
    <row r="387" spans="1:12">
      <c r="A387" t="s">
        <v>413</v>
      </c>
      <c r="B387" s="1">
        <v>45474</v>
      </c>
      <c r="C387" t="s">
        <v>24</v>
      </c>
      <c r="D387" s="9" t="s">
        <v>20</v>
      </c>
      <c r="E387" s="2">
        <v>45516</v>
      </c>
      <c r="F387" t="b">
        <v>1</v>
      </c>
      <c r="G387" t="s">
        <v>313</v>
      </c>
      <c r="H387">
        <v>72</v>
      </c>
      <c r="I387">
        <v>19</v>
      </c>
      <c r="J387">
        <v>5</v>
      </c>
      <c r="K387">
        <v>483</v>
      </c>
      <c r="L387">
        <v>1</v>
      </c>
    </row>
    <row r="388" spans="1:12">
      <c r="A388" t="s">
        <v>414</v>
      </c>
      <c r="B388" s="1">
        <v>45497.73541666667</v>
      </c>
      <c r="C388" t="s">
        <v>37</v>
      </c>
      <c r="D388" s="9" t="s">
        <v>14</v>
      </c>
      <c r="E388" s="2">
        <v>45529</v>
      </c>
      <c r="F388" t="b">
        <v>0</v>
      </c>
      <c r="G388" t="s">
        <v>313</v>
      </c>
      <c r="H388">
        <v>72</v>
      </c>
      <c r="I388">
        <v>12</v>
      </c>
      <c r="J388">
        <v>2</v>
      </c>
      <c r="K388">
        <v>392</v>
      </c>
      <c r="L388">
        <v>2</v>
      </c>
    </row>
    <row r="389" spans="1:12">
      <c r="A389" t="s">
        <v>415</v>
      </c>
      <c r="B389" s="1">
        <v>45432.271527777775</v>
      </c>
      <c r="C389" t="s">
        <v>33</v>
      </c>
      <c r="D389" s="9" t="s">
        <v>26</v>
      </c>
      <c r="E389" s="2">
        <v>45505</v>
      </c>
      <c r="F389" t="b">
        <v>1</v>
      </c>
      <c r="G389" t="s">
        <v>313</v>
      </c>
      <c r="H389">
        <v>72</v>
      </c>
      <c r="I389">
        <v>30</v>
      </c>
      <c r="J389">
        <v>2</v>
      </c>
      <c r="K389">
        <v>484</v>
      </c>
      <c r="L389">
        <v>2</v>
      </c>
    </row>
    <row r="390" spans="1:12">
      <c r="A390" t="s">
        <v>416</v>
      </c>
      <c r="B390" s="1">
        <v>45633</v>
      </c>
      <c r="C390" t="s">
        <v>37</v>
      </c>
      <c r="D390" s="9" t="s">
        <v>14</v>
      </c>
      <c r="E390" s="2">
        <v>45514</v>
      </c>
      <c r="F390" t="b">
        <v>0</v>
      </c>
      <c r="G390" t="s">
        <v>313</v>
      </c>
      <c r="H390">
        <v>72</v>
      </c>
      <c r="I390">
        <v>23</v>
      </c>
      <c r="J390">
        <v>1</v>
      </c>
      <c r="K390">
        <v>324</v>
      </c>
      <c r="L390">
        <v>1</v>
      </c>
    </row>
    <row r="391" spans="1:12">
      <c r="A391" t="s">
        <v>417</v>
      </c>
      <c r="B391" s="1">
        <v>45487.87777777778</v>
      </c>
      <c r="C391" t="s">
        <v>13</v>
      </c>
      <c r="D391" s="9" t="s">
        <v>14</v>
      </c>
      <c r="E391" s="2">
        <v>45523</v>
      </c>
      <c r="F391" t="b">
        <v>0</v>
      </c>
      <c r="G391" t="s">
        <v>313</v>
      </c>
      <c r="H391">
        <v>72</v>
      </c>
      <c r="I391">
        <v>22</v>
      </c>
      <c r="J391">
        <v>3</v>
      </c>
      <c r="K391">
        <v>338</v>
      </c>
      <c r="L391">
        <v>2</v>
      </c>
    </row>
    <row r="392" spans="1:12">
      <c r="A392" t="s">
        <v>418</v>
      </c>
      <c r="B392" s="1">
        <v>45389.684027777781</v>
      </c>
      <c r="C392" t="s">
        <v>30</v>
      </c>
      <c r="D392" s="9" t="s">
        <v>26</v>
      </c>
      <c r="E392" s="2">
        <v>45508</v>
      </c>
      <c r="F392" t="b">
        <v>0</v>
      </c>
      <c r="G392" t="s">
        <v>313</v>
      </c>
      <c r="H392">
        <v>72</v>
      </c>
      <c r="I392">
        <v>3</v>
      </c>
      <c r="J392">
        <v>3</v>
      </c>
      <c r="K392">
        <v>377</v>
      </c>
      <c r="L392">
        <v>2</v>
      </c>
    </row>
    <row r="393" spans="1:12">
      <c r="A393" t="s">
        <v>419</v>
      </c>
      <c r="B393" s="1">
        <v>45481.011805555558</v>
      </c>
      <c r="C393" t="s">
        <v>37</v>
      </c>
      <c r="D393" s="9" t="s">
        <v>26</v>
      </c>
      <c r="E393" s="2">
        <v>45533</v>
      </c>
      <c r="F393" t="b">
        <v>0</v>
      </c>
      <c r="G393" t="s">
        <v>313</v>
      </c>
      <c r="H393">
        <v>72</v>
      </c>
      <c r="I393">
        <v>2</v>
      </c>
      <c r="J393">
        <v>2</v>
      </c>
      <c r="K393">
        <v>395</v>
      </c>
      <c r="L393">
        <v>2</v>
      </c>
    </row>
    <row r="394" spans="1:12">
      <c r="A394" t="s">
        <v>420</v>
      </c>
      <c r="B394" s="1">
        <v>45489.033333333333</v>
      </c>
      <c r="C394" t="s">
        <v>22</v>
      </c>
      <c r="D394" s="9" t="s">
        <v>26</v>
      </c>
      <c r="E394" s="2">
        <v>45516</v>
      </c>
      <c r="F394" t="b">
        <v>1</v>
      </c>
      <c r="G394" t="s">
        <v>313</v>
      </c>
      <c r="H394">
        <v>72</v>
      </c>
      <c r="I394">
        <v>19</v>
      </c>
      <c r="J394">
        <v>6</v>
      </c>
      <c r="K394">
        <v>564</v>
      </c>
      <c r="L394">
        <v>2</v>
      </c>
    </row>
    <row r="395" spans="1:12">
      <c r="A395" t="s">
        <v>421</v>
      </c>
      <c r="B395" s="1">
        <v>45372.31527777778</v>
      </c>
      <c r="C395" t="s">
        <v>19</v>
      </c>
      <c r="D395" s="9" t="s">
        <v>14</v>
      </c>
      <c r="E395" s="2">
        <v>45525</v>
      </c>
      <c r="F395" t="b">
        <v>0</v>
      </c>
      <c r="G395" t="s">
        <v>313</v>
      </c>
      <c r="H395">
        <v>71</v>
      </c>
      <c r="I395">
        <v>5</v>
      </c>
      <c r="J395">
        <v>1</v>
      </c>
      <c r="K395">
        <v>409</v>
      </c>
      <c r="L395">
        <v>2</v>
      </c>
    </row>
    <row r="396" spans="1:12">
      <c r="A396" t="s">
        <v>422</v>
      </c>
      <c r="B396" s="1">
        <v>45589.414583333331</v>
      </c>
      <c r="C396" t="s">
        <v>33</v>
      </c>
      <c r="D396" s="9" t="s">
        <v>20</v>
      </c>
      <c r="E396" s="2">
        <v>45509</v>
      </c>
      <c r="F396" t="b">
        <v>1</v>
      </c>
      <c r="G396" t="s">
        <v>313</v>
      </c>
      <c r="H396">
        <v>71</v>
      </c>
      <c r="I396">
        <v>26</v>
      </c>
      <c r="J396">
        <v>5</v>
      </c>
      <c r="K396">
        <v>515</v>
      </c>
      <c r="L396">
        <v>2</v>
      </c>
    </row>
    <row r="397" spans="1:12">
      <c r="A397" t="s">
        <v>423</v>
      </c>
      <c r="B397" s="1">
        <v>45566.47152777778</v>
      </c>
      <c r="C397" t="s">
        <v>30</v>
      </c>
      <c r="D397" s="9" t="s">
        <v>26</v>
      </c>
      <c r="E397" s="2">
        <v>45526</v>
      </c>
      <c r="F397" t="b">
        <v>1</v>
      </c>
      <c r="G397" t="s">
        <v>313</v>
      </c>
      <c r="H397">
        <v>71</v>
      </c>
      <c r="I397">
        <v>9</v>
      </c>
      <c r="J397">
        <v>1</v>
      </c>
      <c r="K397">
        <v>511</v>
      </c>
      <c r="L397">
        <v>2</v>
      </c>
    </row>
    <row r="398" spans="1:12">
      <c r="A398" t="s">
        <v>424</v>
      </c>
      <c r="B398" s="1">
        <v>45474</v>
      </c>
      <c r="C398" t="s">
        <v>33</v>
      </c>
      <c r="D398" s="9" t="s">
        <v>26</v>
      </c>
      <c r="E398" s="2">
        <v>45516</v>
      </c>
      <c r="F398" t="b">
        <v>1</v>
      </c>
      <c r="G398" t="s">
        <v>313</v>
      </c>
      <c r="H398">
        <v>71</v>
      </c>
      <c r="I398">
        <v>19</v>
      </c>
      <c r="J398">
        <v>2</v>
      </c>
      <c r="K398">
        <v>483</v>
      </c>
      <c r="L398">
        <v>1</v>
      </c>
    </row>
    <row r="399" spans="1:12">
      <c r="A399" t="s">
        <v>425</v>
      </c>
      <c r="B399" s="1">
        <v>45506.51666666667</v>
      </c>
      <c r="C399" t="s">
        <v>37</v>
      </c>
      <c r="D399" s="9" t="s">
        <v>14</v>
      </c>
      <c r="E399" s="2">
        <v>45529</v>
      </c>
      <c r="F399" t="b">
        <v>0</v>
      </c>
      <c r="G399" t="s">
        <v>313</v>
      </c>
      <c r="H399">
        <v>71</v>
      </c>
      <c r="I399">
        <v>26</v>
      </c>
      <c r="J399">
        <v>2</v>
      </c>
      <c r="K399">
        <v>628</v>
      </c>
      <c r="L399">
        <v>2</v>
      </c>
    </row>
    <row r="400" spans="1:12">
      <c r="A400" t="s">
        <v>426</v>
      </c>
      <c r="B400" s="1">
        <v>45350.656944444447</v>
      </c>
      <c r="C400" t="s">
        <v>51</v>
      </c>
      <c r="D400" s="9" t="s">
        <v>14</v>
      </c>
      <c r="E400" s="2">
        <v>45507</v>
      </c>
      <c r="F400" t="b">
        <v>0</v>
      </c>
      <c r="G400" t="s">
        <v>313</v>
      </c>
      <c r="H400">
        <v>71</v>
      </c>
      <c r="I400">
        <v>19</v>
      </c>
      <c r="J400">
        <v>1</v>
      </c>
      <c r="K400">
        <v>325</v>
      </c>
      <c r="L400">
        <v>2</v>
      </c>
    </row>
    <row r="401" spans="1:12">
      <c r="A401" t="s">
        <v>427</v>
      </c>
      <c r="B401" s="1">
        <v>45536.038194444445</v>
      </c>
      <c r="C401" t="s">
        <v>33</v>
      </c>
      <c r="D401" s="9" t="s">
        <v>14</v>
      </c>
      <c r="E401" s="2">
        <v>45512</v>
      </c>
      <c r="F401" t="b">
        <v>0</v>
      </c>
      <c r="G401" t="s">
        <v>313</v>
      </c>
      <c r="H401">
        <v>71</v>
      </c>
      <c r="I401">
        <v>27</v>
      </c>
      <c r="J401">
        <v>4</v>
      </c>
      <c r="K401">
        <v>615</v>
      </c>
      <c r="L401">
        <v>2</v>
      </c>
    </row>
    <row r="402" spans="1:12">
      <c r="A402" t="s">
        <v>428</v>
      </c>
      <c r="B402" s="1">
        <v>45516.152777777781</v>
      </c>
      <c r="C402" t="s">
        <v>24</v>
      </c>
      <c r="D402" s="9" t="s">
        <v>26</v>
      </c>
      <c r="E402" s="2">
        <v>45508</v>
      </c>
      <c r="F402" t="b">
        <v>1</v>
      </c>
      <c r="G402" t="s">
        <v>313</v>
      </c>
      <c r="H402">
        <v>71</v>
      </c>
      <c r="I402">
        <v>27</v>
      </c>
      <c r="J402">
        <v>6</v>
      </c>
      <c r="K402">
        <v>512</v>
      </c>
      <c r="L402">
        <v>2</v>
      </c>
    </row>
    <row r="403" spans="1:12">
      <c r="A403" t="s">
        <v>429</v>
      </c>
      <c r="B403" s="1">
        <v>45419.87222222222</v>
      </c>
      <c r="C403" t="s">
        <v>30</v>
      </c>
      <c r="D403" s="9" t="s">
        <v>14</v>
      </c>
      <c r="E403" s="2">
        <v>45511</v>
      </c>
      <c r="F403" t="b">
        <v>1</v>
      </c>
      <c r="G403" t="s">
        <v>313</v>
      </c>
      <c r="H403">
        <v>70</v>
      </c>
      <c r="I403">
        <v>24</v>
      </c>
      <c r="J403">
        <v>2</v>
      </c>
      <c r="K403">
        <v>407</v>
      </c>
      <c r="L403">
        <v>2</v>
      </c>
    </row>
    <row r="404" spans="1:12">
      <c r="A404" t="s">
        <v>430</v>
      </c>
      <c r="B404" s="1">
        <v>45352.574305555558</v>
      </c>
      <c r="C404" t="s">
        <v>37</v>
      </c>
      <c r="D404" s="9" t="s">
        <v>20</v>
      </c>
      <c r="E404" s="2">
        <v>45526</v>
      </c>
      <c r="F404" t="b">
        <v>1</v>
      </c>
      <c r="G404" t="s">
        <v>313</v>
      </c>
      <c r="H404">
        <v>70</v>
      </c>
      <c r="I404">
        <v>9</v>
      </c>
      <c r="J404">
        <v>6</v>
      </c>
      <c r="K404">
        <v>608</v>
      </c>
      <c r="L404">
        <v>2</v>
      </c>
    </row>
    <row r="405" spans="1:12">
      <c r="A405" t="s">
        <v>431</v>
      </c>
      <c r="B405" s="1">
        <v>45386.582638888889</v>
      </c>
      <c r="C405" t="s">
        <v>13</v>
      </c>
      <c r="D405" s="9" t="s">
        <v>20</v>
      </c>
      <c r="E405" s="2">
        <v>45531</v>
      </c>
      <c r="F405" t="b">
        <v>1</v>
      </c>
      <c r="G405" t="s">
        <v>313</v>
      </c>
      <c r="H405">
        <v>70</v>
      </c>
      <c r="I405">
        <v>4</v>
      </c>
      <c r="J405">
        <v>15</v>
      </c>
      <c r="K405">
        <v>401</v>
      </c>
      <c r="L405">
        <v>0</v>
      </c>
    </row>
    <row r="406" spans="1:12">
      <c r="A406" t="s">
        <v>432</v>
      </c>
      <c r="B406" s="1">
        <v>45508</v>
      </c>
      <c r="C406" t="s">
        <v>13</v>
      </c>
      <c r="D406" s="9" t="s">
        <v>14</v>
      </c>
      <c r="E406" s="2">
        <v>45513</v>
      </c>
      <c r="F406" t="b">
        <v>1</v>
      </c>
      <c r="G406" t="s">
        <v>313</v>
      </c>
      <c r="H406">
        <v>70</v>
      </c>
      <c r="I406">
        <v>22</v>
      </c>
      <c r="J406">
        <v>2</v>
      </c>
      <c r="K406">
        <v>449</v>
      </c>
      <c r="L406">
        <v>1</v>
      </c>
    </row>
    <row r="407" spans="1:12">
      <c r="A407" t="s">
        <v>433</v>
      </c>
      <c r="B407" s="1">
        <v>45328</v>
      </c>
      <c r="C407" t="s">
        <v>13</v>
      </c>
      <c r="D407" s="9" t="s">
        <v>14</v>
      </c>
      <c r="E407" s="2">
        <v>45520</v>
      </c>
      <c r="F407" t="b">
        <v>0</v>
      </c>
      <c r="G407" t="s">
        <v>313</v>
      </c>
      <c r="H407">
        <v>70</v>
      </c>
      <c r="I407">
        <v>26</v>
      </c>
      <c r="J407">
        <v>2</v>
      </c>
      <c r="K407">
        <v>629</v>
      </c>
      <c r="L407">
        <v>1</v>
      </c>
    </row>
    <row r="408" spans="1:12">
      <c r="A408" t="s">
        <v>434</v>
      </c>
      <c r="B408" s="1">
        <v>45448</v>
      </c>
      <c r="C408" t="s">
        <v>13</v>
      </c>
      <c r="D408" s="9" t="s">
        <v>14</v>
      </c>
      <c r="E408" s="2">
        <v>45509</v>
      </c>
      <c r="F408" t="b">
        <v>1</v>
      </c>
      <c r="G408" t="s">
        <v>313</v>
      </c>
      <c r="H408">
        <v>69</v>
      </c>
      <c r="I408">
        <v>26</v>
      </c>
      <c r="J408">
        <v>3</v>
      </c>
      <c r="K408">
        <v>509</v>
      </c>
      <c r="L408">
        <v>1</v>
      </c>
    </row>
    <row r="409" spans="1:12">
      <c r="A409" t="s">
        <v>435</v>
      </c>
      <c r="B409" s="1">
        <v>45506.420138888891</v>
      </c>
      <c r="C409" t="s">
        <v>13</v>
      </c>
      <c r="D409" s="9" t="s">
        <v>20</v>
      </c>
      <c r="E409" s="2">
        <v>45533</v>
      </c>
      <c r="F409" t="b">
        <v>1</v>
      </c>
      <c r="G409" t="s">
        <v>313</v>
      </c>
      <c r="H409">
        <v>69</v>
      </c>
      <c r="I409">
        <v>2</v>
      </c>
      <c r="J409">
        <v>12</v>
      </c>
      <c r="K409">
        <v>346</v>
      </c>
      <c r="L409">
        <v>0</v>
      </c>
    </row>
    <row r="410" spans="1:12">
      <c r="A410" t="s">
        <v>436</v>
      </c>
      <c r="B410" s="1">
        <v>45480.329861111109</v>
      </c>
      <c r="C410" t="s">
        <v>13</v>
      </c>
      <c r="D410" s="9" t="s">
        <v>20</v>
      </c>
      <c r="E410" s="2">
        <v>45528</v>
      </c>
      <c r="F410" t="b">
        <v>1</v>
      </c>
      <c r="G410" t="s">
        <v>313</v>
      </c>
      <c r="H410">
        <v>69</v>
      </c>
      <c r="I410">
        <v>7</v>
      </c>
      <c r="J410">
        <v>6</v>
      </c>
      <c r="K410">
        <v>634</v>
      </c>
      <c r="L410">
        <v>2</v>
      </c>
    </row>
    <row r="411" spans="1:12">
      <c r="A411" t="s">
        <v>437</v>
      </c>
      <c r="B411" s="1">
        <v>45326</v>
      </c>
      <c r="C411" t="s">
        <v>13</v>
      </c>
      <c r="D411" s="9" t="s">
        <v>14</v>
      </c>
      <c r="E411" s="2">
        <v>45509</v>
      </c>
      <c r="F411" t="b">
        <v>0</v>
      </c>
      <c r="G411" t="s">
        <v>313</v>
      </c>
      <c r="H411">
        <v>69</v>
      </c>
      <c r="I411">
        <v>11</v>
      </c>
      <c r="J411">
        <v>4</v>
      </c>
      <c r="K411">
        <v>631</v>
      </c>
      <c r="L411">
        <v>1</v>
      </c>
    </row>
    <row r="412" spans="1:12">
      <c r="A412" t="s">
        <v>438</v>
      </c>
      <c r="B412" s="1">
        <v>45359.222916666666</v>
      </c>
      <c r="C412" t="s">
        <v>33</v>
      </c>
      <c r="D412" s="9" t="s">
        <v>14</v>
      </c>
      <c r="E412" s="2">
        <v>45509</v>
      </c>
      <c r="F412" t="b">
        <v>1</v>
      </c>
      <c r="G412" t="s">
        <v>313</v>
      </c>
      <c r="H412">
        <v>69</v>
      </c>
      <c r="I412">
        <v>26</v>
      </c>
      <c r="J412">
        <v>1</v>
      </c>
      <c r="K412">
        <v>517</v>
      </c>
      <c r="L412">
        <v>2</v>
      </c>
    </row>
    <row r="413" spans="1:12">
      <c r="A413" t="s">
        <v>439</v>
      </c>
      <c r="B413" s="1">
        <v>45314.28125</v>
      </c>
      <c r="C413" t="s">
        <v>33</v>
      </c>
      <c r="D413" s="9" t="s">
        <v>14</v>
      </c>
      <c r="E413" s="2">
        <v>45520</v>
      </c>
      <c r="F413" t="b">
        <v>0</v>
      </c>
      <c r="G413" t="s">
        <v>313</v>
      </c>
      <c r="H413">
        <v>69</v>
      </c>
      <c r="I413">
        <v>10</v>
      </c>
      <c r="J413">
        <v>4</v>
      </c>
      <c r="K413">
        <v>418</v>
      </c>
      <c r="L413">
        <v>2</v>
      </c>
    </row>
    <row r="414" spans="1:12">
      <c r="A414" t="s">
        <v>440</v>
      </c>
      <c r="B414" s="1">
        <v>45511</v>
      </c>
      <c r="C414" t="s">
        <v>22</v>
      </c>
      <c r="D414" s="9" t="s">
        <v>14</v>
      </c>
      <c r="E414" s="2">
        <v>45505</v>
      </c>
      <c r="F414" t="b">
        <v>0</v>
      </c>
      <c r="G414" t="s">
        <v>313</v>
      </c>
      <c r="H414">
        <v>68</v>
      </c>
      <c r="I414">
        <v>13</v>
      </c>
      <c r="J414">
        <v>1</v>
      </c>
      <c r="K414">
        <v>446</v>
      </c>
      <c r="L414">
        <v>1</v>
      </c>
    </row>
    <row r="415" spans="1:12">
      <c r="A415" t="s">
        <v>441</v>
      </c>
      <c r="B415" s="1">
        <v>45346.154166666667</v>
      </c>
      <c r="C415" t="s">
        <v>37</v>
      </c>
      <c r="D415" s="9" t="s">
        <v>20</v>
      </c>
      <c r="E415" s="2">
        <v>45506</v>
      </c>
      <c r="F415" t="b">
        <v>1</v>
      </c>
      <c r="G415" t="s">
        <v>313</v>
      </c>
      <c r="H415">
        <v>68</v>
      </c>
      <c r="I415">
        <v>29</v>
      </c>
      <c r="J415">
        <v>6</v>
      </c>
      <c r="K415">
        <v>474</v>
      </c>
      <c r="L415">
        <v>2</v>
      </c>
    </row>
    <row r="416" spans="1:12">
      <c r="A416" t="s">
        <v>442</v>
      </c>
      <c r="B416" s="1">
        <v>45569</v>
      </c>
      <c r="C416" t="s">
        <v>13</v>
      </c>
      <c r="D416" s="9" t="s">
        <v>20</v>
      </c>
      <c r="E416" s="2">
        <v>45512</v>
      </c>
      <c r="F416" t="b">
        <v>0</v>
      </c>
      <c r="G416" t="s">
        <v>313</v>
      </c>
      <c r="H416">
        <v>68</v>
      </c>
      <c r="I416">
        <v>26</v>
      </c>
      <c r="J416">
        <v>6</v>
      </c>
      <c r="K416">
        <v>388</v>
      </c>
      <c r="L416">
        <v>1</v>
      </c>
    </row>
    <row r="417" spans="1:12">
      <c r="A417" t="s">
        <v>443</v>
      </c>
      <c r="B417" s="1">
        <v>45363</v>
      </c>
      <c r="C417" t="s">
        <v>37</v>
      </c>
      <c r="D417" s="9" t="s">
        <v>26</v>
      </c>
      <c r="E417" s="2">
        <v>45534</v>
      </c>
      <c r="F417" t="b">
        <v>1</v>
      </c>
      <c r="G417" t="s">
        <v>313</v>
      </c>
      <c r="H417">
        <v>68</v>
      </c>
      <c r="I417">
        <v>1</v>
      </c>
      <c r="J417">
        <v>2</v>
      </c>
      <c r="K417">
        <v>594</v>
      </c>
      <c r="L417">
        <v>1</v>
      </c>
    </row>
    <row r="418" spans="1:12">
      <c r="A418" t="s">
        <v>444</v>
      </c>
      <c r="B418" s="1">
        <v>45451.526388888888</v>
      </c>
      <c r="C418" t="s">
        <v>37</v>
      </c>
      <c r="D418" s="9" t="s">
        <v>26</v>
      </c>
      <c r="E418" s="2">
        <v>45531</v>
      </c>
      <c r="F418" t="b">
        <v>1</v>
      </c>
      <c r="G418" t="s">
        <v>313</v>
      </c>
      <c r="H418">
        <v>68</v>
      </c>
      <c r="I418">
        <v>4</v>
      </c>
      <c r="J418">
        <v>1</v>
      </c>
      <c r="K418">
        <v>651</v>
      </c>
      <c r="L418">
        <v>2</v>
      </c>
    </row>
    <row r="419" spans="1:12">
      <c r="A419" t="s">
        <v>445</v>
      </c>
      <c r="B419" s="1">
        <v>45491.45208333333</v>
      </c>
      <c r="C419" t="s">
        <v>30</v>
      </c>
      <c r="D419" s="9" t="s">
        <v>26</v>
      </c>
      <c r="E419" s="2">
        <v>45506</v>
      </c>
      <c r="F419" t="b">
        <v>1</v>
      </c>
      <c r="G419" t="s">
        <v>313</v>
      </c>
      <c r="H419">
        <v>68</v>
      </c>
      <c r="I419">
        <v>29</v>
      </c>
      <c r="J419">
        <v>3</v>
      </c>
      <c r="K419">
        <v>600</v>
      </c>
      <c r="L419">
        <v>2</v>
      </c>
    </row>
    <row r="420" spans="1:12">
      <c r="A420" t="s">
        <v>446</v>
      </c>
      <c r="B420" s="1">
        <v>45414</v>
      </c>
      <c r="C420" t="s">
        <v>33</v>
      </c>
      <c r="D420" s="9" t="s">
        <v>14</v>
      </c>
      <c r="E420" s="2">
        <v>45514</v>
      </c>
      <c r="F420" t="b">
        <v>1</v>
      </c>
      <c r="G420" t="s">
        <v>313</v>
      </c>
      <c r="H420">
        <v>68</v>
      </c>
      <c r="I420">
        <v>21</v>
      </c>
      <c r="J420">
        <v>4</v>
      </c>
      <c r="K420">
        <v>543</v>
      </c>
      <c r="L420">
        <v>1</v>
      </c>
    </row>
    <row r="421" spans="1:12">
      <c r="A421" t="s">
        <v>447</v>
      </c>
      <c r="B421" s="1">
        <v>45360</v>
      </c>
      <c r="C421" t="s">
        <v>13</v>
      </c>
      <c r="D421" s="9" t="s">
        <v>14</v>
      </c>
      <c r="E421" s="2">
        <v>45519</v>
      </c>
      <c r="F421" t="b">
        <v>0</v>
      </c>
      <c r="G421" t="s">
        <v>313</v>
      </c>
      <c r="H421">
        <v>67</v>
      </c>
      <c r="I421">
        <v>26</v>
      </c>
      <c r="J421">
        <v>5</v>
      </c>
      <c r="K421">
        <v>597</v>
      </c>
      <c r="L421">
        <v>1</v>
      </c>
    </row>
    <row r="422" spans="1:12">
      <c r="A422" t="s">
        <v>448</v>
      </c>
      <c r="B422" s="1">
        <v>45636</v>
      </c>
      <c r="C422" t="s">
        <v>13</v>
      </c>
      <c r="D422" s="9" t="s">
        <v>26</v>
      </c>
      <c r="E422" s="2">
        <v>45515</v>
      </c>
      <c r="F422" t="b">
        <v>0</v>
      </c>
      <c r="G422" t="s">
        <v>313</v>
      </c>
      <c r="H422">
        <v>67</v>
      </c>
      <c r="I422">
        <v>11</v>
      </c>
      <c r="J422">
        <v>4</v>
      </c>
      <c r="K422">
        <v>321</v>
      </c>
      <c r="L422">
        <v>1</v>
      </c>
    </row>
    <row r="423" spans="1:12">
      <c r="A423" t="s">
        <v>449</v>
      </c>
      <c r="B423" s="1">
        <v>45609.430555555555</v>
      </c>
      <c r="C423" t="s">
        <v>24</v>
      </c>
      <c r="D423" s="9" t="s">
        <v>14</v>
      </c>
      <c r="E423" s="2">
        <v>45510</v>
      </c>
      <c r="F423" t="b">
        <v>0</v>
      </c>
      <c r="G423" t="s">
        <v>313</v>
      </c>
      <c r="H423">
        <v>67</v>
      </c>
      <c r="I423">
        <v>28</v>
      </c>
      <c r="J423">
        <v>3</v>
      </c>
      <c r="K423">
        <v>552</v>
      </c>
      <c r="L423">
        <v>2</v>
      </c>
    </row>
    <row r="424" spans="1:12">
      <c r="A424" t="s">
        <v>450</v>
      </c>
      <c r="B424" s="1">
        <v>45633.205555555556</v>
      </c>
      <c r="C424" t="s">
        <v>37</v>
      </c>
      <c r="D424" s="9" t="s">
        <v>20</v>
      </c>
      <c r="E424" s="2">
        <v>45512</v>
      </c>
      <c r="F424" t="b">
        <v>0</v>
      </c>
      <c r="G424" t="s">
        <v>313</v>
      </c>
      <c r="H424">
        <v>67</v>
      </c>
      <c r="I424">
        <v>29</v>
      </c>
      <c r="J424">
        <v>2</v>
      </c>
      <c r="K424">
        <v>339</v>
      </c>
      <c r="L424">
        <v>2</v>
      </c>
    </row>
    <row r="425" spans="1:12">
      <c r="A425" t="s">
        <v>451</v>
      </c>
      <c r="B425" s="1">
        <v>45318.231944444444</v>
      </c>
      <c r="C425" t="s">
        <v>33</v>
      </c>
      <c r="D425" s="9" t="s">
        <v>20</v>
      </c>
      <c r="E425" s="2">
        <v>45528</v>
      </c>
      <c r="F425" t="b">
        <v>1</v>
      </c>
      <c r="G425" t="s">
        <v>313</v>
      </c>
      <c r="H425">
        <v>67</v>
      </c>
      <c r="I425">
        <v>7</v>
      </c>
      <c r="J425">
        <v>4</v>
      </c>
      <c r="K425">
        <v>569</v>
      </c>
      <c r="L425">
        <v>2</v>
      </c>
    </row>
    <row r="426" spans="1:12">
      <c r="A426" t="s">
        <v>452</v>
      </c>
      <c r="B426" s="1">
        <v>45495.686111111114</v>
      </c>
      <c r="C426" t="s">
        <v>13</v>
      </c>
      <c r="D426" s="9" t="s">
        <v>20</v>
      </c>
      <c r="E426" s="2">
        <v>45505</v>
      </c>
      <c r="F426" t="b">
        <v>1</v>
      </c>
      <c r="G426" t="s">
        <v>313</v>
      </c>
      <c r="H426">
        <v>66</v>
      </c>
      <c r="I426">
        <v>30</v>
      </c>
      <c r="J426">
        <v>3</v>
      </c>
      <c r="K426">
        <v>507</v>
      </c>
      <c r="L426">
        <v>2</v>
      </c>
    </row>
    <row r="427" spans="1:12">
      <c r="A427" t="s">
        <v>453</v>
      </c>
      <c r="B427" s="1">
        <v>45480.274305555555</v>
      </c>
      <c r="C427" t="s">
        <v>30</v>
      </c>
      <c r="D427" s="9" t="s">
        <v>20</v>
      </c>
      <c r="E427" s="2">
        <v>45523</v>
      </c>
      <c r="F427" t="b">
        <v>1</v>
      </c>
      <c r="G427" t="s">
        <v>313</v>
      </c>
      <c r="H427">
        <v>66</v>
      </c>
      <c r="I427">
        <v>12</v>
      </c>
      <c r="J427">
        <v>4</v>
      </c>
      <c r="K427">
        <v>468</v>
      </c>
      <c r="L427">
        <v>2</v>
      </c>
    </row>
    <row r="428" spans="1:12">
      <c r="A428" t="s">
        <v>454</v>
      </c>
      <c r="B428" s="1">
        <v>45294</v>
      </c>
      <c r="C428" t="s">
        <v>51</v>
      </c>
      <c r="D428" s="9" t="s">
        <v>26</v>
      </c>
      <c r="E428" s="2">
        <v>45524</v>
      </c>
      <c r="F428" t="b">
        <v>1</v>
      </c>
      <c r="G428" t="s">
        <v>313</v>
      </c>
      <c r="H428">
        <v>66</v>
      </c>
      <c r="I428">
        <v>11</v>
      </c>
      <c r="J428">
        <v>12</v>
      </c>
      <c r="K428">
        <v>663</v>
      </c>
      <c r="L428">
        <v>0</v>
      </c>
    </row>
    <row r="429" spans="1:12">
      <c r="A429" t="s">
        <v>455</v>
      </c>
      <c r="B429" s="1">
        <v>45400.40625</v>
      </c>
      <c r="C429" t="s">
        <v>33</v>
      </c>
      <c r="D429" s="9" t="s">
        <v>26</v>
      </c>
      <c r="E429" s="2">
        <v>45518</v>
      </c>
      <c r="F429" t="b">
        <v>1</v>
      </c>
      <c r="G429" t="s">
        <v>313</v>
      </c>
      <c r="H429">
        <v>66</v>
      </c>
      <c r="I429">
        <v>17</v>
      </c>
      <c r="J429">
        <v>5</v>
      </c>
      <c r="K429">
        <v>403</v>
      </c>
      <c r="L429">
        <v>2</v>
      </c>
    </row>
    <row r="430" spans="1:12">
      <c r="A430" t="s">
        <v>456</v>
      </c>
      <c r="B430" s="1">
        <v>45335.174305555556</v>
      </c>
      <c r="C430" t="s">
        <v>19</v>
      </c>
      <c r="D430" s="9" t="s">
        <v>14</v>
      </c>
      <c r="E430" s="2">
        <v>45527</v>
      </c>
      <c r="F430" t="b">
        <v>0</v>
      </c>
      <c r="G430" t="s">
        <v>313</v>
      </c>
      <c r="H430">
        <v>66</v>
      </c>
      <c r="I430">
        <v>3</v>
      </c>
      <c r="J430">
        <v>1</v>
      </c>
      <c r="K430">
        <v>612</v>
      </c>
      <c r="L430">
        <v>2</v>
      </c>
    </row>
    <row r="431" spans="1:12">
      <c r="A431" t="s">
        <v>457</v>
      </c>
      <c r="B431" s="1">
        <v>45299</v>
      </c>
      <c r="C431" t="s">
        <v>13</v>
      </c>
      <c r="D431" s="9" t="s">
        <v>14</v>
      </c>
      <c r="E431" s="2">
        <v>45524</v>
      </c>
      <c r="F431" t="b">
        <v>0</v>
      </c>
      <c r="G431" t="s">
        <v>313</v>
      </c>
      <c r="H431">
        <v>65</v>
      </c>
      <c r="I431">
        <v>14</v>
      </c>
      <c r="J431">
        <v>0</v>
      </c>
      <c r="K431">
        <v>658</v>
      </c>
      <c r="L431">
        <v>1</v>
      </c>
    </row>
    <row r="432" spans="1:12">
      <c r="A432" t="s">
        <v>458</v>
      </c>
      <c r="B432" s="1">
        <v>45379.393750000003</v>
      </c>
      <c r="C432" t="s">
        <v>33</v>
      </c>
      <c r="D432" s="9" t="s">
        <v>14</v>
      </c>
      <c r="E432" s="2">
        <v>45533</v>
      </c>
      <c r="F432" t="b">
        <v>1</v>
      </c>
      <c r="G432" t="s">
        <v>313</v>
      </c>
      <c r="H432">
        <v>65</v>
      </c>
      <c r="I432">
        <v>2</v>
      </c>
      <c r="J432">
        <v>1</v>
      </c>
      <c r="K432">
        <v>520</v>
      </c>
      <c r="L432">
        <v>2</v>
      </c>
    </row>
    <row r="433" spans="1:12">
      <c r="A433" t="s">
        <v>459</v>
      </c>
      <c r="B433" s="1">
        <v>45314.292361111111</v>
      </c>
      <c r="C433" t="s">
        <v>33</v>
      </c>
      <c r="D433" s="9" t="s">
        <v>17</v>
      </c>
      <c r="E433" s="2">
        <v>45520</v>
      </c>
      <c r="F433" t="b">
        <v>0</v>
      </c>
      <c r="G433" t="s">
        <v>313</v>
      </c>
      <c r="H433">
        <v>65</v>
      </c>
      <c r="I433">
        <v>22</v>
      </c>
      <c r="J433">
        <v>13</v>
      </c>
      <c r="K433">
        <v>342</v>
      </c>
      <c r="L433">
        <v>0</v>
      </c>
    </row>
    <row r="434" spans="1:12">
      <c r="A434" t="s">
        <v>460</v>
      </c>
      <c r="B434" s="1">
        <v>45565.356944444444</v>
      </c>
      <c r="C434" t="s">
        <v>37</v>
      </c>
      <c r="D434" s="9" t="s">
        <v>14</v>
      </c>
      <c r="E434" s="2">
        <v>45526</v>
      </c>
      <c r="F434" t="b">
        <v>1</v>
      </c>
      <c r="G434" t="s">
        <v>313</v>
      </c>
      <c r="H434">
        <v>65</v>
      </c>
      <c r="I434">
        <v>9</v>
      </c>
      <c r="J434">
        <v>2</v>
      </c>
      <c r="K434">
        <v>653</v>
      </c>
      <c r="L434">
        <v>2</v>
      </c>
    </row>
    <row r="435" spans="1:12">
      <c r="A435" t="s">
        <v>461</v>
      </c>
      <c r="B435" s="1">
        <v>45476.969444444447</v>
      </c>
      <c r="C435" t="s">
        <v>22</v>
      </c>
      <c r="D435" s="9" t="s">
        <v>14</v>
      </c>
      <c r="E435" s="2">
        <v>45515</v>
      </c>
      <c r="F435" t="b">
        <v>0</v>
      </c>
      <c r="G435" t="s">
        <v>313</v>
      </c>
      <c r="H435">
        <v>64</v>
      </c>
      <c r="I435">
        <v>5</v>
      </c>
      <c r="J435">
        <v>2</v>
      </c>
      <c r="K435">
        <v>473</v>
      </c>
      <c r="L435">
        <v>2</v>
      </c>
    </row>
    <row r="436" spans="1:12">
      <c r="A436" t="s">
        <v>462</v>
      </c>
      <c r="B436" s="1">
        <v>45536.1</v>
      </c>
      <c r="C436" t="s">
        <v>37</v>
      </c>
      <c r="D436" s="9" t="s">
        <v>20</v>
      </c>
      <c r="E436" s="2">
        <v>45518</v>
      </c>
      <c r="F436" t="b">
        <v>0</v>
      </c>
      <c r="G436" t="s">
        <v>313</v>
      </c>
      <c r="H436">
        <v>64</v>
      </c>
      <c r="I436">
        <v>18</v>
      </c>
      <c r="J436">
        <v>5</v>
      </c>
      <c r="K436">
        <v>448</v>
      </c>
      <c r="L436">
        <v>2</v>
      </c>
    </row>
    <row r="437" spans="1:12">
      <c r="A437" t="s">
        <v>463</v>
      </c>
      <c r="B437" s="1">
        <v>45341.560416666667</v>
      </c>
      <c r="C437" t="s">
        <v>22</v>
      </c>
      <c r="D437" s="9" t="s">
        <v>14</v>
      </c>
      <c r="E437" s="2">
        <v>45524</v>
      </c>
      <c r="F437" t="b">
        <v>1</v>
      </c>
      <c r="G437" t="s">
        <v>313</v>
      </c>
      <c r="H437">
        <v>64</v>
      </c>
      <c r="I437">
        <v>11</v>
      </c>
      <c r="J437">
        <v>0</v>
      </c>
      <c r="K437">
        <v>538</v>
      </c>
      <c r="L437">
        <v>2</v>
      </c>
    </row>
    <row r="438" spans="1:12">
      <c r="A438" t="s">
        <v>464</v>
      </c>
      <c r="B438" s="1">
        <v>45293</v>
      </c>
      <c r="C438" t="s">
        <v>30</v>
      </c>
      <c r="D438" s="9" t="s">
        <v>14</v>
      </c>
      <c r="E438" s="2">
        <v>45530</v>
      </c>
      <c r="F438" t="b">
        <v>0</v>
      </c>
      <c r="G438" t="s">
        <v>313</v>
      </c>
      <c r="H438">
        <v>64</v>
      </c>
      <c r="I438">
        <v>30</v>
      </c>
      <c r="J438">
        <v>3</v>
      </c>
      <c r="K438">
        <v>664</v>
      </c>
      <c r="L438">
        <v>1</v>
      </c>
    </row>
    <row r="439" spans="1:12">
      <c r="A439" t="s">
        <v>465</v>
      </c>
      <c r="B439" s="1">
        <v>45303</v>
      </c>
      <c r="C439" t="s">
        <v>19</v>
      </c>
      <c r="D439" s="9" t="s">
        <v>14</v>
      </c>
      <c r="E439" s="2">
        <v>45526</v>
      </c>
      <c r="F439" t="b">
        <v>0</v>
      </c>
      <c r="G439" t="s">
        <v>313</v>
      </c>
      <c r="H439">
        <v>64</v>
      </c>
      <c r="I439">
        <v>8</v>
      </c>
      <c r="J439">
        <v>1</v>
      </c>
      <c r="K439">
        <v>654</v>
      </c>
      <c r="L439">
        <v>1</v>
      </c>
    </row>
    <row r="440" spans="1:12">
      <c r="A440" t="s">
        <v>466</v>
      </c>
      <c r="B440" s="1">
        <v>45535.434027777781</v>
      </c>
      <c r="C440" t="s">
        <v>13</v>
      </c>
      <c r="D440" s="9" t="s">
        <v>20</v>
      </c>
      <c r="E440" s="2">
        <v>45517</v>
      </c>
      <c r="F440" t="b">
        <v>0</v>
      </c>
      <c r="G440" t="s">
        <v>313</v>
      </c>
      <c r="H440">
        <v>64</v>
      </c>
      <c r="I440">
        <v>29</v>
      </c>
      <c r="J440">
        <v>3</v>
      </c>
      <c r="K440">
        <v>607</v>
      </c>
      <c r="L440">
        <v>2</v>
      </c>
    </row>
    <row r="441" spans="1:12">
      <c r="A441" t="s">
        <v>467</v>
      </c>
      <c r="B441" s="1">
        <v>45446.709722222222</v>
      </c>
      <c r="C441" t="s">
        <v>13</v>
      </c>
      <c r="D441" s="9" t="s">
        <v>14</v>
      </c>
      <c r="E441" s="2">
        <v>45531</v>
      </c>
      <c r="F441" t="b">
        <v>0</v>
      </c>
      <c r="G441" t="s">
        <v>313</v>
      </c>
      <c r="H441">
        <v>63</v>
      </c>
      <c r="I441">
        <v>11</v>
      </c>
      <c r="J441">
        <v>3</v>
      </c>
      <c r="K441">
        <v>460</v>
      </c>
      <c r="L441">
        <v>2</v>
      </c>
    </row>
    <row r="442" spans="1:12">
      <c r="A442" t="s">
        <v>468</v>
      </c>
      <c r="B442" s="1">
        <v>45420</v>
      </c>
      <c r="C442" t="s">
        <v>19</v>
      </c>
      <c r="D442" s="9" t="s">
        <v>14</v>
      </c>
      <c r="E442" s="2">
        <v>45523</v>
      </c>
      <c r="F442" t="b">
        <v>0</v>
      </c>
      <c r="G442" t="s">
        <v>313</v>
      </c>
      <c r="H442">
        <v>63</v>
      </c>
      <c r="I442">
        <v>27</v>
      </c>
      <c r="J442">
        <v>1</v>
      </c>
      <c r="K442">
        <v>537</v>
      </c>
      <c r="L442">
        <v>1</v>
      </c>
    </row>
    <row r="443" spans="1:12">
      <c r="A443" t="s">
        <v>469</v>
      </c>
      <c r="B443" s="1">
        <v>45294.712500000001</v>
      </c>
      <c r="C443" t="s">
        <v>37</v>
      </c>
      <c r="D443" s="9" t="s">
        <v>20</v>
      </c>
      <c r="E443" s="2">
        <v>45522</v>
      </c>
      <c r="F443" t="b">
        <v>1</v>
      </c>
      <c r="G443" t="s">
        <v>313</v>
      </c>
      <c r="H443">
        <v>63</v>
      </c>
      <c r="I443">
        <v>13</v>
      </c>
      <c r="J443">
        <v>7</v>
      </c>
      <c r="K443">
        <v>450</v>
      </c>
      <c r="L443">
        <v>2</v>
      </c>
    </row>
    <row r="444" spans="1:12">
      <c r="A444" t="s">
        <v>470</v>
      </c>
      <c r="B444" s="1">
        <v>45373.773611111108</v>
      </c>
      <c r="C444" t="s">
        <v>37</v>
      </c>
      <c r="D444" s="9" t="s">
        <v>14</v>
      </c>
      <c r="E444" s="2">
        <v>45518</v>
      </c>
      <c r="F444" t="b">
        <v>0</v>
      </c>
      <c r="G444" t="s">
        <v>313</v>
      </c>
      <c r="H444">
        <v>63</v>
      </c>
      <c r="I444">
        <v>25</v>
      </c>
      <c r="J444">
        <v>1</v>
      </c>
      <c r="K444">
        <v>657</v>
      </c>
      <c r="L444">
        <v>2</v>
      </c>
    </row>
    <row r="445" spans="1:12">
      <c r="A445" t="s">
        <v>471</v>
      </c>
      <c r="B445" s="1">
        <v>45332.491666666669</v>
      </c>
      <c r="C445" t="s">
        <v>13</v>
      </c>
      <c r="D445" s="9" t="s">
        <v>14</v>
      </c>
      <c r="E445" s="2">
        <v>45510</v>
      </c>
      <c r="F445" t="b">
        <v>0</v>
      </c>
      <c r="G445" t="s">
        <v>313</v>
      </c>
      <c r="H445">
        <v>63</v>
      </c>
      <c r="I445">
        <v>11</v>
      </c>
      <c r="J445">
        <v>1</v>
      </c>
      <c r="K445">
        <v>556</v>
      </c>
      <c r="L445">
        <v>2</v>
      </c>
    </row>
    <row r="446" spans="1:12">
      <c r="A446" t="s">
        <v>472</v>
      </c>
      <c r="B446" s="1">
        <v>45354</v>
      </c>
      <c r="C446" t="s">
        <v>13</v>
      </c>
      <c r="D446" s="9" t="s">
        <v>17</v>
      </c>
      <c r="E446" s="2">
        <v>45508</v>
      </c>
      <c r="F446" t="b">
        <v>1</v>
      </c>
      <c r="G446" t="s">
        <v>313</v>
      </c>
      <c r="H446">
        <v>63</v>
      </c>
      <c r="I446">
        <v>27</v>
      </c>
      <c r="J446">
        <v>13</v>
      </c>
      <c r="K446">
        <v>603</v>
      </c>
      <c r="L446">
        <v>0</v>
      </c>
    </row>
    <row r="447" spans="1:12">
      <c r="A447" t="s">
        <v>473</v>
      </c>
      <c r="B447" s="1">
        <v>45466.386805555558</v>
      </c>
      <c r="C447" t="s">
        <v>24</v>
      </c>
      <c r="D447" s="9" t="s">
        <v>17</v>
      </c>
      <c r="E447" s="2">
        <v>45510</v>
      </c>
      <c r="F447" t="b">
        <v>1</v>
      </c>
      <c r="G447" t="s">
        <v>313</v>
      </c>
      <c r="H447">
        <v>63</v>
      </c>
      <c r="I447">
        <v>25</v>
      </c>
      <c r="J447">
        <v>10</v>
      </c>
      <c r="K447">
        <v>493</v>
      </c>
      <c r="L447">
        <v>0</v>
      </c>
    </row>
    <row r="448" spans="1:12">
      <c r="A448" t="s">
        <v>474</v>
      </c>
      <c r="B448" s="1">
        <v>45569.106249999997</v>
      </c>
      <c r="C448" t="s">
        <v>30</v>
      </c>
      <c r="D448" s="9" t="s">
        <v>26</v>
      </c>
      <c r="E448" s="2">
        <v>45529</v>
      </c>
      <c r="F448" t="b">
        <v>1</v>
      </c>
      <c r="G448" t="s">
        <v>313</v>
      </c>
      <c r="H448">
        <v>63</v>
      </c>
      <c r="I448">
        <v>6</v>
      </c>
      <c r="J448">
        <v>8</v>
      </c>
      <c r="K448">
        <v>352</v>
      </c>
      <c r="L448">
        <v>2</v>
      </c>
    </row>
    <row r="449" spans="1:12">
      <c r="A449" t="s">
        <v>475</v>
      </c>
      <c r="B449" s="1">
        <v>45457.850694444445</v>
      </c>
      <c r="C449" t="s">
        <v>19</v>
      </c>
      <c r="D449" s="9" t="s">
        <v>26</v>
      </c>
      <c r="E449" s="2">
        <v>45532</v>
      </c>
      <c r="F449" t="b">
        <v>1</v>
      </c>
      <c r="G449" t="s">
        <v>313</v>
      </c>
      <c r="H449">
        <v>62</v>
      </c>
      <c r="I449">
        <v>3</v>
      </c>
      <c r="J449">
        <v>3</v>
      </c>
      <c r="K449">
        <v>478</v>
      </c>
      <c r="L449">
        <v>2</v>
      </c>
    </row>
    <row r="450" spans="1:12">
      <c r="A450" t="s">
        <v>476</v>
      </c>
      <c r="B450" s="1">
        <v>45377.054861111108</v>
      </c>
      <c r="C450" t="s">
        <v>37</v>
      </c>
      <c r="D450" s="9" t="s">
        <v>26</v>
      </c>
      <c r="E450" s="2">
        <v>45522</v>
      </c>
      <c r="F450" t="b">
        <v>1</v>
      </c>
      <c r="G450" t="s">
        <v>313</v>
      </c>
      <c r="H450">
        <v>62</v>
      </c>
      <c r="I450">
        <v>13</v>
      </c>
      <c r="J450">
        <v>3</v>
      </c>
      <c r="K450">
        <v>478</v>
      </c>
      <c r="L450">
        <v>2</v>
      </c>
    </row>
    <row r="451" spans="1:12">
      <c r="A451" t="s">
        <v>477</v>
      </c>
      <c r="B451" s="1">
        <v>45476</v>
      </c>
      <c r="C451" t="s">
        <v>13</v>
      </c>
      <c r="D451" s="9" t="s">
        <v>14</v>
      </c>
      <c r="E451" s="2">
        <v>45525</v>
      </c>
      <c r="F451" t="b">
        <v>1</v>
      </c>
      <c r="G451" t="s">
        <v>313</v>
      </c>
      <c r="H451">
        <v>62</v>
      </c>
      <c r="I451">
        <v>10</v>
      </c>
      <c r="J451">
        <v>2</v>
      </c>
      <c r="K451">
        <v>481</v>
      </c>
      <c r="L451">
        <v>1</v>
      </c>
    </row>
    <row r="452" spans="1:12">
      <c r="A452" t="s">
        <v>478</v>
      </c>
      <c r="B452" s="1">
        <v>45456.202777777777</v>
      </c>
      <c r="C452" t="s">
        <v>13</v>
      </c>
      <c r="D452" s="9" t="s">
        <v>26</v>
      </c>
      <c r="E452" s="2">
        <v>45513</v>
      </c>
      <c r="F452" t="b">
        <v>0</v>
      </c>
      <c r="G452" t="s">
        <v>313</v>
      </c>
      <c r="H452">
        <v>62</v>
      </c>
      <c r="I452">
        <v>3</v>
      </c>
      <c r="J452">
        <v>1</v>
      </c>
      <c r="K452">
        <v>598</v>
      </c>
      <c r="L452">
        <v>2</v>
      </c>
    </row>
    <row r="453" spans="1:12">
      <c r="A453" t="s">
        <v>479</v>
      </c>
      <c r="B453" s="1">
        <v>45474</v>
      </c>
      <c r="C453" t="s">
        <v>19</v>
      </c>
      <c r="D453" s="9" t="s">
        <v>14</v>
      </c>
      <c r="E453" s="2">
        <v>45514</v>
      </c>
      <c r="F453" t="b">
        <v>1</v>
      </c>
      <c r="G453" t="s">
        <v>480</v>
      </c>
      <c r="H453">
        <v>61</v>
      </c>
      <c r="I453">
        <v>21</v>
      </c>
      <c r="J453">
        <v>1</v>
      </c>
      <c r="K453">
        <v>483</v>
      </c>
      <c r="L453">
        <v>1</v>
      </c>
    </row>
    <row r="454" spans="1:12">
      <c r="A454" t="s">
        <v>481</v>
      </c>
      <c r="B454" s="1">
        <v>45474</v>
      </c>
      <c r="C454" t="s">
        <v>37</v>
      </c>
      <c r="D454" s="9" t="s">
        <v>26</v>
      </c>
      <c r="E454" s="2">
        <v>45524</v>
      </c>
      <c r="F454" t="b">
        <v>1</v>
      </c>
      <c r="G454" t="s">
        <v>480</v>
      </c>
      <c r="H454">
        <v>61</v>
      </c>
      <c r="I454">
        <v>11</v>
      </c>
      <c r="J454">
        <v>1</v>
      </c>
      <c r="K454">
        <v>483</v>
      </c>
      <c r="L454">
        <v>1</v>
      </c>
    </row>
    <row r="455" spans="1:12">
      <c r="A455" t="s">
        <v>482</v>
      </c>
      <c r="B455" s="1">
        <v>45474</v>
      </c>
      <c r="C455" t="s">
        <v>19</v>
      </c>
      <c r="D455" s="9" t="s">
        <v>14</v>
      </c>
      <c r="E455" s="2">
        <v>45517</v>
      </c>
      <c r="F455" t="b">
        <v>0</v>
      </c>
      <c r="G455" t="s">
        <v>480</v>
      </c>
      <c r="H455">
        <v>61</v>
      </c>
      <c r="I455">
        <v>21</v>
      </c>
      <c r="J455">
        <v>4</v>
      </c>
      <c r="K455">
        <v>483</v>
      </c>
      <c r="L455">
        <v>1</v>
      </c>
    </row>
    <row r="456" spans="1:12">
      <c r="A456" t="s">
        <v>483</v>
      </c>
      <c r="B456" s="1">
        <v>45474</v>
      </c>
      <c r="C456" t="s">
        <v>22</v>
      </c>
      <c r="D456" s="9" t="s">
        <v>14</v>
      </c>
      <c r="E456" s="2">
        <v>45522</v>
      </c>
      <c r="F456" t="b">
        <v>0</v>
      </c>
      <c r="G456" t="s">
        <v>480</v>
      </c>
      <c r="H456">
        <v>61</v>
      </c>
      <c r="I456">
        <v>13</v>
      </c>
      <c r="J456">
        <v>1</v>
      </c>
      <c r="K456">
        <v>483</v>
      </c>
      <c r="L456">
        <v>1</v>
      </c>
    </row>
    <row r="457" spans="1:12">
      <c r="A457" t="s">
        <v>484</v>
      </c>
      <c r="B457" s="1">
        <v>45474</v>
      </c>
      <c r="C457" t="s">
        <v>13</v>
      </c>
      <c r="D457" s="9" t="s">
        <v>14</v>
      </c>
      <c r="E457" s="2">
        <v>45529</v>
      </c>
      <c r="F457" t="b">
        <v>0</v>
      </c>
      <c r="G457" t="s">
        <v>480</v>
      </c>
      <c r="H457">
        <v>61</v>
      </c>
      <c r="I457">
        <v>20</v>
      </c>
      <c r="J457">
        <v>1</v>
      </c>
      <c r="K457">
        <v>483</v>
      </c>
      <c r="L457">
        <v>1</v>
      </c>
    </row>
    <row r="458" spans="1:12">
      <c r="A458" t="s">
        <v>485</v>
      </c>
      <c r="B458" s="1">
        <v>45474</v>
      </c>
      <c r="C458" t="s">
        <v>30</v>
      </c>
      <c r="D458" s="9" t="s">
        <v>26</v>
      </c>
      <c r="E458" s="2">
        <v>45530</v>
      </c>
      <c r="F458" t="b">
        <v>0</v>
      </c>
      <c r="G458" t="s">
        <v>480</v>
      </c>
      <c r="H458">
        <v>61</v>
      </c>
      <c r="I458">
        <v>27</v>
      </c>
      <c r="J458">
        <v>3</v>
      </c>
      <c r="K458">
        <v>483</v>
      </c>
      <c r="L458">
        <v>1</v>
      </c>
    </row>
    <row r="459" spans="1:12">
      <c r="A459" t="s">
        <v>486</v>
      </c>
      <c r="B459" s="1">
        <v>45474</v>
      </c>
      <c r="C459" t="s">
        <v>24</v>
      </c>
      <c r="D459" s="9" t="s">
        <v>17</v>
      </c>
      <c r="E459" s="2">
        <v>45520</v>
      </c>
      <c r="F459" t="b">
        <v>1</v>
      </c>
      <c r="G459" t="s">
        <v>480</v>
      </c>
      <c r="H459">
        <v>61</v>
      </c>
      <c r="I459">
        <v>15</v>
      </c>
      <c r="J459">
        <v>13</v>
      </c>
      <c r="K459">
        <v>483</v>
      </c>
      <c r="L459">
        <v>0</v>
      </c>
    </row>
    <row r="460" spans="1:12">
      <c r="A460" t="s">
        <v>487</v>
      </c>
      <c r="B460" s="1">
        <v>45475</v>
      </c>
      <c r="C460" t="s">
        <v>33</v>
      </c>
      <c r="D460" s="9" t="s">
        <v>26</v>
      </c>
      <c r="E460" s="2">
        <v>45529</v>
      </c>
      <c r="F460" t="b">
        <v>0</v>
      </c>
      <c r="G460" t="s">
        <v>480</v>
      </c>
      <c r="H460">
        <v>60</v>
      </c>
      <c r="I460">
        <v>16</v>
      </c>
      <c r="J460">
        <v>6</v>
      </c>
      <c r="K460">
        <v>482</v>
      </c>
      <c r="L460">
        <v>1</v>
      </c>
    </row>
    <row r="461" spans="1:12">
      <c r="A461" t="s">
        <v>488</v>
      </c>
      <c r="B461" s="1">
        <v>45475</v>
      </c>
      <c r="C461" t="s">
        <v>13</v>
      </c>
      <c r="D461" s="9" t="s">
        <v>26</v>
      </c>
      <c r="E461" s="2">
        <v>45523</v>
      </c>
      <c r="F461" t="b">
        <v>1</v>
      </c>
      <c r="G461" t="s">
        <v>480</v>
      </c>
      <c r="H461">
        <v>60</v>
      </c>
      <c r="I461">
        <v>12</v>
      </c>
      <c r="J461">
        <v>3</v>
      </c>
      <c r="K461">
        <v>482</v>
      </c>
      <c r="L461">
        <v>1</v>
      </c>
    </row>
    <row r="462" spans="1:12">
      <c r="A462" t="s">
        <v>489</v>
      </c>
      <c r="B462" s="1">
        <v>45475</v>
      </c>
      <c r="C462" t="s">
        <v>13</v>
      </c>
      <c r="D462" s="9" t="s">
        <v>14</v>
      </c>
      <c r="E462" s="2">
        <v>45516</v>
      </c>
      <c r="F462" t="b">
        <v>0</v>
      </c>
      <c r="G462" t="s">
        <v>480</v>
      </c>
      <c r="H462">
        <v>60</v>
      </c>
      <c r="I462">
        <v>15</v>
      </c>
      <c r="J462">
        <v>2</v>
      </c>
      <c r="K462">
        <v>482</v>
      </c>
      <c r="L462">
        <v>1</v>
      </c>
    </row>
    <row r="463" spans="1:12">
      <c r="A463" t="s">
        <v>490</v>
      </c>
      <c r="B463" s="1">
        <v>45476</v>
      </c>
      <c r="C463" t="s">
        <v>22</v>
      </c>
      <c r="D463" s="9" t="s">
        <v>26</v>
      </c>
      <c r="E463" s="2">
        <v>45520</v>
      </c>
      <c r="F463" t="b">
        <v>0</v>
      </c>
      <c r="G463" t="s">
        <v>480</v>
      </c>
      <c r="H463">
        <v>59</v>
      </c>
      <c r="I463">
        <v>13</v>
      </c>
      <c r="J463">
        <v>3</v>
      </c>
      <c r="K463">
        <v>481</v>
      </c>
      <c r="L463">
        <v>1</v>
      </c>
    </row>
    <row r="464" spans="1:12">
      <c r="A464" t="s">
        <v>491</v>
      </c>
      <c r="B464" s="1">
        <v>45476</v>
      </c>
      <c r="C464" t="s">
        <v>24</v>
      </c>
      <c r="D464" s="9" t="s">
        <v>17</v>
      </c>
      <c r="E464" s="2">
        <v>45518</v>
      </c>
      <c r="F464" t="b">
        <v>1</v>
      </c>
      <c r="G464" t="s">
        <v>480</v>
      </c>
      <c r="H464">
        <v>59</v>
      </c>
      <c r="I464">
        <v>17</v>
      </c>
      <c r="J464">
        <v>13</v>
      </c>
      <c r="K464">
        <v>481</v>
      </c>
      <c r="L464">
        <v>0</v>
      </c>
    </row>
    <row r="465" spans="1:12">
      <c r="A465" t="s">
        <v>492</v>
      </c>
      <c r="B465" s="1">
        <v>45476</v>
      </c>
      <c r="C465" t="s">
        <v>13</v>
      </c>
      <c r="D465" s="9" t="s">
        <v>14</v>
      </c>
      <c r="E465" s="2">
        <v>45529</v>
      </c>
      <c r="F465" t="b">
        <v>0</v>
      </c>
      <c r="G465" t="s">
        <v>480</v>
      </c>
      <c r="H465">
        <v>59</v>
      </c>
      <c r="I465">
        <v>4</v>
      </c>
      <c r="J465">
        <v>3</v>
      </c>
      <c r="K465">
        <v>481</v>
      </c>
      <c r="L465">
        <v>1</v>
      </c>
    </row>
    <row r="466" spans="1:12">
      <c r="A466" t="s">
        <v>493</v>
      </c>
      <c r="B466" s="1">
        <v>45476</v>
      </c>
      <c r="C466" t="s">
        <v>51</v>
      </c>
      <c r="D466" s="9" t="s">
        <v>14</v>
      </c>
      <c r="E466" s="2">
        <v>45513</v>
      </c>
      <c r="F466" t="b">
        <v>0</v>
      </c>
      <c r="G466" t="s">
        <v>480</v>
      </c>
      <c r="H466">
        <v>59</v>
      </c>
      <c r="I466">
        <v>9</v>
      </c>
      <c r="J466">
        <v>1</v>
      </c>
      <c r="K466">
        <v>481</v>
      </c>
      <c r="L466">
        <v>1</v>
      </c>
    </row>
    <row r="467" spans="1:12">
      <c r="A467" t="s">
        <v>494</v>
      </c>
      <c r="B467" s="1">
        <v>45476</v>
      </c>
      <c r="C467" t="s">
        <v>37</v>
      </c>
      <c r="D467" s="9" t="s">
        <v>26</v>
      </c>
      <c r="E467" s="2">
        <v>45518</v>
      </c>
      <c r="F467" t="b">
        <v>1</v>
      </c>
      <c r="G467" t="s">
        <v>480</v>
      </c>
      <c r="H467">
        <v>59</v>
      </c>
      <c r="I467">
        <v>17</v>
      </c>
      <c r="J467">
        <v>2</v>
      </c>
      <c r="K467">
        <v>481</v>
      </c>
      <c r="L467">
        <v>1</v>
      </c>
    </row>
    <row r="468" spans="1:12">
      <c r="A468" t="s">
        <v>495</v>
      </c>
      <c r="B468" s="1">
        <v>45476</v>
      </c>
      <c r="C468" t="s">
        <v>24</v>
      </c>
      <c r="D468" s="9" t="s">
        <v>20</v>
      </c>
      <c r="E468" s="2">
        <v>45517</v>
      </c>
      <c r="F468" t="b">
        <v>0</v>
      </c>
      <c r="G468" t="s">
        <v>480</v>
      </c>
      <c r="H468">
        <v>59</v>
      </c>
      <c r="I468">
        <v>4</v>
      </c>
      <c r="J468">
        <v>6</v>
      </c>
      <c r="K468">
        <v>481</v>
      </c>
      <c r="L468">
        <v>1</v>
      </c>
    </row>
    <row r="469" spans="1:12">
      <c r="A469" t="s">
        <v>496</v>
      </c>
      <c r="B469" s="1">
        <v>45476</v>
      </c>
      <c r="C469" t="s">
        <v>19</v>
      </c>
      <c r="D469" s="9" t="s">
        <v>26</v>
      </c>
      <c r="E469" s="2">
        <v>45529</v>
      </c>
      <c r="F469" t="b">
        <v>1</v>
      </c>
      <c r="G469" t="s">
        <v>480</v>
      </c>
      <c r="H469">
        <v>59</v>
      </c>
      <c r="I469">
        <v>6</v>
      </c>
      <c r="J469">
        <v>3</v>
      </c>
      <c r="K469">
        <v>481</v>
      </c>
      <c r="L469">
        <v>1</v>
      </c>
    </row>
    <row r="470" spans="1:12">
      <c r="A470" t="s">
        <v>497</v>
      </c>
      <c r="B470" s="1">
        <v>45477</v>
      </c>
      <c r="C470" t="s">
        <v>33</v>
      </c>
      <c r="D470" s="9" t="s">
        <v>26</v>
      </c>
      <c r="E470" s="2">
        <v>45513</v>
      </c>
      <c r="F470" t="b">
        <v>0</v>
      </c>
      <c r="G470" t="s">
        <v>480</v>
      </c>
      <c r="H470">
        <v>58</v>
      </c>
      <c r="I470">
        <v>13</v>
      </c>
      <c r="J470">
        <v>1</v>
      </c>
      <c r="K470">
        <v>480</v>
      </c>
      <c r="L470">
        <v>1</v>
      </c>
    </row>
    <row r="471" spans="1:12">
      <c r="A471" t="s">
        <v>498</v>
      </c>
      <c r="B471" s="1">
        <v>45477</v>
      </c>
      <c r="C471" t="s">
        <v>13</v>
      </c>
      <c r="D471" s="9" t="s">
        <v>14</v>
      </c>
      <c r="E471" s="2">
        <v>45516</v>
      </c>
      <c r="F471" t="b">
        <v>0</v>
      </c>
      <c r="G471" t="s">
        <v>480</v>
      </c>
      <c r="H471">
        <v>58</v>
      </c>
      <c r="I471">
        <v>14</v>
      </c>
      <c r="J471">
        <v>1</v>
      </c>
      <c r="K471">
        <v>480</v>
      </c>
      <c r="L471">
        <v>1</v>
      </c>
    </row>
    <row r="472" spans="1:12">
      <c r="A472" t="s">
        <v>499</v>
      </c>
      <c r="B472" s="1">
        <v>45477</v>
      </c>
      <c r="C472" t="s">
        <v>37</v>
      </c>
      <c r="D472" s="9" t="s">
        <v>26</v>
      </c>
      <c r="E472" s="2">
        <v>45512</v>
      </c>
      <c r="F472" t="b">
        <v>0</v>
      </c>
      <c r="G472" t="s">
        <v>480</v>
      </c>
      <c r="H472">
        <v>58</v>
      </c>
      <c r="I472">
        <v>17</v>
      </c>
      <c r="J472">
        <v>1</v>
      </c>
      <c r="K472">
        <v>480</v>
      </c>
      <c r="L472">
        <v>1</v>
      </c>
    </row>
    <row r="473" spans="1:12">
      <c r="A473" t="s">
        <v>500</v>
      </c>
      <c r="B473" s="1">
        <v>45477</v>
      </c>
      <c r="C473" t="s">
        <v>37</v>
      </c>
      <c r="D473" s="9" t="s">
        <v>26</v>
      </c>
      <c r="E473" s="2">
        <v>45519</v>
      </c>
      <c r="F473" t="b">
        <v>1</v>
      </c>
      <c r="G473" t="s">
        <v>480</v>
      </c>
      <c r="H473">
        <v>58</v>
      </c>
      <c r="I473">
        <v>16</v>
      </c>
      <c r="J473">
        <v>1</v>
      </c>
      <c r="K473">
        <v>480</v>
      </c>
      <c r="L473">
        <v>1</v>
      </c>
    </row>
    <row r="474" spans="1:12">
      <c r="A474" t="s">
        <v>501</v>
      </c>
      <c r="B474" s="1">
        <v>45477</v>
      </c>
      <c r="C474" t="s">
        <v>13</v>
      </c>
      <c r="D474" s="9" t="s">
        <v>14</v>
      </c>
      <c r="E474" s="2">
        <v>45531</v>
      </c>
      <c r="F474" t="b">
        <v>0</v>
      </c>
      <c r="G474" t="s">
        <v>480</v>
      </c>
      <c r="H474">
        <v>58</v>
      </c>
      <c r="I474">
        <v>16</v>
      </c>
      <c r="J474">
        <v>1</v>
      </c>
      <c r="K474">
        <v>480</v>
      </c>
      <c r="L474">
        <v>1</v>
      </c>
    </row>
    <row r="475" spans="1:12">
      <c r="A475" t="s">
        <v>502</v>
      </c>
      <c r="B475" s="1">
        <v>45477</v>
      </c>
      <c r="C475" t="s">
        <v>22</v>
      </c>
      <c r="D475" s="9" t="s">
        <v>20</v>
      </c>
      <c r="E475" s="2">
        <v>45514</v>
      </c>
      <c r="F475" t="b">
        <v>1</v>
      </c>
      <c r="G475" t="s">
        <v>480</v>
      </c>
      <c r="H475">
        <v>58</v>
      </c>
      <c r="I475">
        <v>21</v>
      </c>
      <c r="J475">
        <v>5</v>
      </c>
      <c r="K475">
        <v>480</v>
      </c>
      <c r="L475">
        <v>1</v>
      </c>
    </row>
    <row r="476" spans="1:12">
      <c r="A476" t="s">
        <v>503</v>
      </c>
      <c r="B476" s="1">
        <v>45478</v>
      </c>
      <c r="C476" t="s">
        <v>13</v>
      </c>
      <c r="D476" s="9" t="s">
        <v>14</v>
      </c>
      <c r="E476" s="2">
        <v>45511</v>
      </c>
      <c r="F476" t="b">
        <v>0</v>
      </c>
      <c r="G476" t="s">
        <v>480</v>
      </c>
      <c r="H476">
        <v>57</v>
      </c>
      <c r="I476">
        <v>16</v>
      </c>
      <c r="J476">
        <v>1</v>
      </c>
      <c r="K476">
        <v>479</v>
      </c>
      <c r="L476">
        <v>1</v>
      </c>
    </row>
    <row r="477" spans="1:12">
      <c r="A477" t="s">
        <v>504</v>
      </c>
      <c r="B477" s="1">
        <v>45478</v>
      </c>
      <c r="C477" t="s">
        <v>30</v>
      </c>
      <c r="D477" s="9" t="s">
        <v>17</v>
      </c>
      <c r="E477" s="2">
        <v>45509</v>
      </c>
      <c r="F477" t="b">
        <v>1</v>
      </c>
      <c r="G477" t="s">
        <v>480</v>
      </c>
      <c r="H477">
        <v>57</v>
      </c>
      <c r="I477">
        <v>26</v>
      </c>
      <c r="J477">
        <v>8</v>
      </c>
      <c r="K477">
        <v>479</v>
      </c>
      <c r="L477">
        <v>0</v>
      </c>
    </row>
    <row r="478" spans="1:12">
      <c r="A478" t="s">
        <v>505</v>
      </c>
      <c r="B478" s="1">
        <v>45478</v>
      </c>
      <c r="C478" t="s">
        <v>37</v>
      </c>
      <c r="D478" s="9" t="s">
        <v>14</v>
      </c>
      <c r="E478" s="2">
        <v>45513</v>
      </c>
      <c r="F478" t="b">
        <v>0</v>
      </c>
      <c r="G478" t="s">
        <v>480</v>
      </c>
      <c r="H478">
        <v>57</v>
      </c>
      <c r="I478">
        <v>8</v>
      </c>
      <c r="J478">
        <v>0</v>
      </c>
      <c r="K478">
        <v>479</v>
      </c>
      <c r="L478">
        <v>1</v>
      </c>
    </row>
    <row r="479" spans="1:12">
      <c r="A479" t="s">
        <v>506</v>
      </c>
      <c r="B479" s="1">
        <v>45478</v>
      </c>
      <c r="C479" t="s">
        <v>33</v>
      </c>
      <c r="D479" s="9" t="s">
        <v>26</v>
      </c>
      <c r="E479" s="2">
        <v>45515</v>
      </c>
      <c r="F479" t="b">
        <v>1</v>
      </c>
      <c r="G479" t="s">
        <v>480</v>
      </c>
      <c r="H479">
        <v>57</v>
      </c>
      <c r="I479">
        <v>20</v>
      </c>
      <c r="J479">
        <v>5</v>
      </c>
      <c r="K479">
        <v>479</v>
      </c>
      <c r="L479">
        <v>1</v>
      </c>
    </row>
    <row r="480" spans="1:12">
      <c r="A480" t="s">
        <v>507</v>
      </c>
      <c r="B480" s="1">
        <v>45478</v>
      </c>
      <c r="C480" t="s">
        <v>13</v>
      </c>
      <c r="D480" s="9" t="s">
        <v>17</v>
      </c>
      <c r="E480" s="2">
        <v>45519</v>
      </c>
      <c r="F480" t="b">
        <v>1</v>
      </c>
      <c r="G480" t="s">
        <v>480</v>
      </c>
      <c r="H480">
        <v>57</v>
      </c>
      <c r="I480">
        <v>16</v>
      </c>
      <c r="J480">
        <v>11</v>
      </c>
      <c r="K480">
        <v>479</v>
      </c>
      <c r="L480">
        <v>0</v>
      </c>
    </row>
    <row r="481" spans="1:12">
      <c r="A481" t="s">
        <v>508</v>
      </c>
      <c r="B481" s="1">
        <v>45479</v>
      </c>
      <c r="C481" t="s">
        <v>30</v>
      </c>
      <c r="D481" s="9" t="s">
        <v>26</v>
      </c>
      <c r="E481" s="2">
        <v>45528</v>
      </c>
      <c r="F481" t="b">
        <v>1</v>
      </c>
      <c r="G481" t="s">
        <v>480</v>
      </c>
      <c r="H481">
        <v>56</v>
      </c>
      <c r="I481">
        <v>7</v>
      </c>
      <c r="J481">
        <v>2</v>
      </c>
      <c r="K481">
        <v>478</v>
      </c>
      <c r="L481">
        <v>1</v>
      </c>
    </row>
    <row r="482" spans="1:12">
      <c r="A482" t="s">
        <v>509</v>
      </c>
      <c r="B482" s="1">
        <v>45479</v>
      </c>
      <c r="C482" t="s">
        <v>30</v>
      </c>
      <c r="D482" s="9" t="s">
        <v>26</v>
      </c>
      <c r="E482" s="2">
        <v>45530</v>
      </c>
      <c r="F482" t="b">
        <v>0</v>
      </c>
      <c r="G482" t="s">
        <v>480</v>
      </c>
      <c r="H482">
        <v>56</v>
      </c>
      <c r="I482">
        <v>4</v>
      </c>
      <c r="J482">
        <v>3</v>
      </c>
      <c r="K482">
        <v>478</v>
      </c>
      <c r="L482">
        <v>1</v>
      </c>
    </row>
    <row r="483" spans="1:12">
      <c r="A483" t="s">
        <v>510</v>
      </c>
      <c r="B483" s="1">
        <v>45479</v>
      </c>
      <c r="C483" t="s">
        <v>19</v>
      </c>
      <c r="D483" s="9" t="s">
        <v>14</v>
      </c>
      <c r="E483" s="2">
        <v>45505</v>
      </c>
      <c r="F483" t="b">
        <v>0</v>
      </c>
      <c r="G483" t="s">
        <v>480</v>
      </c>
      <c r="H483">
        <v>56</v>
      </c>
      <c r="I483">
        <v>2</v>
      </c>
      <c r="J483">
        <v>4</v>
      </c>
      <c r="K483">
        <v>478</v>
      </c>
      <c r="L483">
        <v>1</v>
      </c>
    </row>
    <row r="484" spans="1:12">
      <c r="A484" t="s">
        <v>511</v>
      </c>
      <c r="B484" s="1">
        <v>45479</v>
      </c>
      <c r="C484" t="s">
        <v>33</v>
      </c>
      <c r="D484" s="9" t="s">
        <v>14</v>
      </c>
      <c r="E484" s="2">
        <v>45508</v>
      </c>
      <c r="F484" t="b">
        <v>0</v>
      </c>
      <c r="G484" t="s">
        <v>480</v>
      </c>
      <c r="H484">
        <v>56</v>
      </c>
      <c r="I484">
        <v>13</v>
      </c>
      <c r="J484">
        <v>1</v>
      </c>
      <c r="K484">
        <v>478</v>
      </c>
      <c r="L484">
        <v>1</v>
      </c>
    </row>
    <row r="485" spans="1:12">
      <c r="A485" t="s">
        <v>512</v>
      </c>
      <c r="B485" s="1">
        <v>45479</v>
      </c>
      <c r="C485" t="s">
        <v>51</v>
      </c>
      <c r="D485" s="9" t="s">
        <v>14</v>
      </c>
      <c r="E485" s="2">
        <v>45521</v>
      </c>
      <c r="F485" t="b">
        <v>0</v>
      </c>
      <c r="G485" t="s">
        <v>480</v>
      </c>
      <c r="H485">
        <v>56</v>
      </c>
      <c r="I485">
        <v>26</v>
      </c>
      <c r="J485">
        <v>2</v>
      </c>
      <c r="K485">
        <v>478</v>
      </c>
      <c r="L485">
        <v>1</v>
      </c>
    </row>
    <row r="486" spans="1:12">
      <c r="A486" t="s">
        <v>513</v>
      </c>
      <c r="B486" s="1">
        <v>45479</v>
      </c>
      <c r="C486" t="s">
        <v>13</v>
      </c>
      <c r="D486" s="9" t="s">
        <v>20</v>
      </c>
      <c r="E486" s="2">
        <v>45530</v>
      </c>
      <c r="F486" t="b">
        <v>1</v>
      </c>
      <c r="G486" t="s">
        <v>480</v>
      </c>
      <c r="H486">
        <v>56</v>
      </c>
      <c r="I486">
        <v>5</v>
      </c>
      <c r="J486">
        <v>3</v>
      </c>
      <c r="K486">
        <v>478</v>
      </c>
      <c r="L486">
        <v>1</v>
      </c>
    </row>
    <row r="487" spans="1:12">
      <c r="A487" t="s">
        <v>514</v>
      </c>
      <c r="B487" s="1">
        <v>45479</v>
      </c>
      <c r="C487" t="s">
        <v>37</v>
      </c>
      <c r="D487" s="9" t="s">
        <v>26</v>
      </c>
      <c r="E487" s="2">
        <v>45517</v>
      </c>
      <c r="F487" t="b">
        <v>1</v>
      </c>
      <c r="G487" t="s">
        <v>480</v>
      </c>
      <c r="H487">
        <v>56</v>
      </c>
      <c r="I487">
        <v>18</v>
      </c>
      <c r="J487">
        <v>9</v>
      </c>
      <c r="K487">
        <v>478</v>
      </c>
      <c r="L487">
        <v>0</v>
      </c>
    </row>
    <row r="488" spans="1:12">
      <c r="A488" t="s">
        <v>515</v>
      </c>
      <c r="B488" s="1">
        <v>45480</v>
      </c>
      <c r="C488" t="s">
        <v>30</v>
      </c>
      <c r="D488" s="9" t="s">
        <v>20</v>
      </c>
      <c r="E488" s="2">
        <v>45523</v>
      </c>
      <c r="F488" t="b">
        <v>0</v>
      </c>
      <c r="G488" t="s">
        <v>480</v>
      </c>
      <c r="H488">
        <v>55</v>
      </c>
      <c r="I488">
        <v>27</v>
      </c>
      <c r="J488">
        <v>2</v>
      </c>
      <c r="K488">
        <v>477</v>
      </c>
      <c r="L488">
        <v>1</v>
      </c>
    </row>
    <row r="489" spans="1:12">
      <c r="A489" t="s">
        <v>516</v>
      </c>
      <c r="B489" s="1">
        <v>45481</v>
      </c>
      <c r="C489" t="s">
        <v>33</v>
      </c>
      <c r="D489" s="9" t="s">
        <v>26</v>
      </c>
      <c r="E489" s="2">
        <v>45538</v>
      </c>
      <c r="F489" t="b">
        <v>1</v>
      </c>
      <c r="G489" t="s">
        <v>480</v>
      </c>
      <c r="H489">
        <v>54</v>
      </c>
      <c r="I489">
        <v>30</v>
      </c>
      <c r="J489">
        <v>2</v>
      </c>
      <c r="K489">
        <v>476</v>
      </c>
      <c r="L489">
        <v>1</v>
      </c>
    </row>
    <row r="490" spans="1:12">
      <c r="A490" t="s">
        <v>517</v>
      </c>
      <c r="B490" s="1">
        <v>45481</v>
      </c>
      <c r="C490" t="s">
        <v>13</v>
      </c>
      <c r="D490" s="9" t="s">
        <v>26</v>
      </c>
      <c r="E490" s="2">
        <v>45516</v>
      </c>
      <c r="F490" t="b">
        <v>1</v>
      </c>
      <c r="G490" t="s">
        <v>480</v>
      </c>
      <c r="H490">
        <v>54</v>
      </c>
      <c r="I490">
        <v>19</v>
      </c>
      <c r="J490">
        <v>6</v>
      </c>
      <c r="K490">
        <v>476</v>
      </c>
      <c r="L490">
        <v>1</v>
      </c>
    </row>
    <row r="491" spans="1:12">
      <c r="A491" t="s">
        <v>518</v>
      </c>
      <c r="B491" s="1">
        <v>45481</v>
      </c>
      <c r="C491" t="s">
        <v>13</v>
      </c>
      <c r="D491" s="9" t="s">
        <v>26</v>
      </c>
      <c r="E491" s="2">
        <v>45515</v>
      </c>
      <c r="F491" t="b">
        <v>1</v>
      </c>
      <c r="G491" t="s">
        <v>480</v>
      </c>
      <c r="H491">
        <v>54</v>
      </c>
      <c r="I491">
        <v>20</v>
      </c>
      <c r="J491">
        <v>7</v>
      </c>
      <c r="K491">
        <v>476</v>
      </c>
      <c r="L491">
        <v>1</v>
      </c>
    </row>
    <row r="492" spans="1:12">
      <c r="A492" t="s">
        <v>519</v>
      </c>
      <c r="B492" s="1">
        <v>45482</v>
      </c>
      <c r="C492" t="s">
        <v>22</v>
      </c>
      <c r="D492" s="9" t="s">
        <v>26</v>
      </c>
      <c r="E492" s="2">
        <v>45548</v>
      </c>
      <c r="F492" t="b">
        <v>1</v>
      </c>
      <c r="G492" t="s">
        <v>480</v>
      </c>
      <c r="H492">
        <v>53</v>
      </c>
      <c r="I492">
        <v>16</v>
      </c>
      <c r="J492">
        <v>2</v>
      </c>
      <c r="K492">
        <v>475</v>
      </c>
      <c r="L492">
        <v>1</v>
      </c>
    </row>
    <row r="493" spans="1:12">
      <c r="A493" t="s">
        <v>520</v>
      </c>
      <c r="B493" s="1">
        <v>45482</v>
      </c>
      <c r="C493" t="s">
        <v>30</v>
      </c>
      <c r="D493" s="9" t="s">
        <v>26</v>
      </c>
      <c r="E493" s="2">
        <v>45565</v>
      </c>
      <c r="F493" t="b">
        <v>0</v>
      </c>
      <c r="G493" t="s">
        <v>480</v>
      </c>
      <c r="H493">
        <v>53</v>
      </c>
      <c r="I493">
        <v>21</v>
      </c>
      <c r="J493">
        <v>1</v>
      </c>
      <c r="K493">
        <v>475</v>
      </c>
      <c r="L493">
        <v>1</v>
      </c>
    </row>
    <row r="494" spans="1:12">
      <c r="A494" t="s">
        <v>521</v>
      </c>
      <c r="B494" s="1">
        <v>45482</v>
      </c>
      <c r="C494" t="s">
        <v>37</v>
      </c>
      <c r="D494" s="9" t="s">
        <v>14</v>
      </c>
      <c r="E494" s="2">
        <v>45565</v>
      </c>
      <c r="F494" t="b">
        <v>0</v>
      </c>
      <c r="G494" t="s">
        <v>480</v>
      </c>
      <c r="H494">
        <v>53</v>
      </c>
      <c r="I494">
        <v>15</v>
      </c>
      <c r="J494">
        <v>1</v>
      </c>
      <c r="K494">
        <v>475</v>
      </c>
      <c r="L494">
        <v>1</v>
      </c>
    </row>
    <row r="495" spans="1:12">
      <c r="A495" t="s">
        <v>522</v>
      </c>
      <c r="B495" s="1">
        <v>45482</v>
      </c>
      <c r="C495" t="s">
        <v>33</v>
      </c>
      <c r="D495" s="9" t="s">
        <v>26</v>
      </c>
      <c r="E495" s="2">
        <v>45545</v>
      </c>
      <c r="F495" t="b">
        <v>1</v>
      </c>
      <c r="G495" t="s">
        <v>480</v>
      </c>
      <c r="H495">
        <v>53</v>
      </c>
      <c r="I495">
        <v>2</v>
      </c>
      <c r="J495">
        <v>1</v>
      </c>
      <c r="K495">
        <v>475</v>
      </c>
      <c r="L495">
        <v>1</v>
      </c>
    </row>
    <row r="496" spans="1:12">
      <c r="A496" t="s">
        <v>523</v>
      </c>
      <c r="B496" s="1">
        <v>45482</v>
      </c>
      <c r="C496" t="s">
        <v>22</v>
      </c>
      <c r="D496" s="9" t="s">
        <v>17</v>
      </c>
      <c r="E496" s="2">
        <v>45561</v>
      </c>
      <c r="F496" t="b">
        <v>1</v>
      </c>
      <c r="G496" t="s">
        <v>480</v>
      </c>
      <c r="H496">
        <v>53</v>
      </c>
      <c r="I496">
        <v>15</v>
      </c>
      <c r="J496">
        <v>14</v>
      </c>
      <c r="K496">
        <v>475</v>
      </c>
      <c r="L496">
        <v>0</v>
      </c>
    </row>
    <row r="497" spans="1:12">
      <c r="A497" t="s">
        <v>524</v>
      </c>
      <c r="B497" s="1">
        <v>45482</v>
      </c>
      <c r="C497" t="s">
        <v>24</v>
      </c>
      <c r="D497" s="9" t="s">
        <v>14</v>
      </c>
      <c r="E497" s="2">
        <v>45555</v>
      </c>
      <c r="F497" t="b">
        <v>0</v>
      </c>
      <c r="G497" t="s">
        <v>480</v>
      </c>
      <c r="H497">
        <v>53</v>
      </c>
      <c r="I497">
        <v>4</v>
      </c>
      <c r="J497">
        <v>2</v>
      </c>
      <c r="K497">
        <v>475</v>
      </c>
      <c r="L497">
        <v>1</v>
      </c>
    </row>
    <row r="498" spans="1:12">
      <c r="A498" t="s">
        <v>525</v>
      </c>
      <c r="B498" s="1">
        <v>45482</v>
      </c>
      <c r="C498" t="s">
        <v>13</v>
      </c>
      <c r="D498" s="9" t="s">
        <v>20</v>
      </c>
      <c r="E498" s="2">
        <v>45556</v>
      </c>
      <c r="F498" t="b">
        <v>1</v>
      </c>
      <c r="G498" t="s">
        <v>480</v>
      </c>
      <c r="H498">
        <v>53</v>
      </c>
      <c r="I498">
        <v>10</v>
      </c>
      <c r="J498">
        <v>7</v>
      </c>
      <c r="K498">
        <v>475</v>
      </c>
      <c r="L498">
        <v>1</v>
      </c>
    </row>
    <row r="499" spans="1:12">
      <c r="A499" t="s">
        <v>526</v>
      </c>
      <c r="B499" s="1">
        <v>45482</v>
      </c>
      <c r="C499" t="s">
        <v>13</v>
      </c>
      <c r="D499" s="9" t="s">
        <v>20</v>
      </c>
      <c r="E499" s="2">
        <v>45551</v>
      </c>
      <c r="F499" t="b">
        <v>1</v>
      </c>
      <c r="G499" t="s">
        <v>480</v>
      </c>
      <c r="H499">
        <v>53</v>
      </c>
      <c r="I499">
        <v>2</v>
      </c>
      <c r="J499">
        <v>5</v>
      </c>
      <c r="K499">
        <v>475</v>
      </c>
      <c r="L499">
        <v>1</v>
      </c>
    </row>
    <row r="500" spans="1:12">
      <c r="A500" t="s">
        <v>527</v>
      </c>
      <c r="B500" s="1">
        <v>45482</v>
      </c>
      <c r="C500" t="s">
        <v>37</v>
      </c>
      <c r="D500" s="9" t="s">
        <v>14</v>
      </c>
      <c r="E500" s="2">
        <v>45555</v>
      </c>
      <c r="F500" t="b">
        <v>1</v>
      </c>
      <c r="G500" t="s">
        <v>480</v>
      </c>
      <c r="H500">
        <v>53</v>
      </c>
      <c r="I500">
        <v>24</v>
      </c>
      <c r="J500">
        <v>2</v>
      </c>
      <c r="K500">
        <v>475</v>
      </c>
      <c r="L500">
        <v>1</v>
      </c>
    </row>
    <row r="501" spans="1:12">
      <c r="A501" t="s">
        <v>528</v>
      </c>
      <c r="B501" s="1">
        <v>45482</v>
      </c>
      <c r="C501" t="s">
        <v>13</v>
      </c>
      <c r="D501" s="9" t="s">
        <v>26</v>
      </c>
      <c r="E501" s="2">
        <v>45569</v>
      </c>
      <c r="F501" t="b">
        <v>1</v>
      </c>
      <c r="G501" t="s">
        <v>480</v>
      </c>
      <c r="H501">
        <v>53</v>
      </c>
      <c r="I501">
        <v>28</v>
      </c>
      <c r="J501">
        <v>2</v>
      </c>
      <c r="K501">
        <v>475</v>
      </c>
      <c r="L501">
        <v>1</v>
      </c>
    </row>
    <row r="502" spans="1:12">
      <c r="A502" t="s">
        <v>529</v>
      </c>
      <c r="B502" s="1">
        <v>45482</v>
      </c>
      <c r="C502" t="s">
        <v>30</v>
      </c>
      <c r="D502" s="9" t="s">
        <v>14</v>
      </c>
      <c r="E502" s="2">
        <v>45562</v>
      </c>
      <c r="F502" t="b">
        <v>0</v>
      </c>
      <c r="G502" t="s">
        <v>480</v>
      </c>
      <c r="H502">
        <v>53</v>
      </c>
      <c r="I502">
        <v>25</v>
      </c>
      <c r="J502">
        <v>1</v>
      </c>
      <c r="K502">
        <v>475</v>
      </c>
      <c r="L502">
        <v>1</v>
      </c>
    </row>
    <row r="503" spans="1:12">
      <c r="A503" t="s">
        <v>530</v>
      </c>
      <c r="B503" s="1">
        <v>45483</v>
      </c>
      <c r="C503" t="s">
        <v>51</v>
      </c>
      <c r="D503" s="9" t="s">
        <v>14</v>
      </c>
      <c r="E503" s="2">
        <v>45583</v>
      </c>
      <c r="F503" t="b">
        <v>0</v>
      </c>
      <c r="G503" t="s">
        <v>480</v>
      </c>
      <c r="H503">
        <v>52</v>
      </c>
      <c r="I503">
        <v>24</v>
      </c>
      <c r="J503">
        <v>1</v>
      </c>
      <c r="K503">
        <v>474</v>
      </c>
      <c r="L503">
        <v>1</v>
      </c>
    </row>
    <row r="504" spans="1:12">
      <c r="A504" t="s">
        <v>531</v>
      </c>
      <c r="B504" s="1">
        <v>45483</v>
      </c>
      <c r="C504" t="s">
        <v>37</v>
      </c>
      <c r="D504" s="9" t="s">
        <v>14</v>
      </c>
      <c r="E504" s="2">
        <v>45584</v>
      </c>
      <c r="F504" t="b">
        <v>0</v>
      </c>
      <c r="G504" t="s">
        <v>480</v>
      </c>
      <c r="H504">
        <v>52</v>
      </c>
      <c r="I504">
        <v>3</v>
      </c>
      <c r="J504">
        <v>2</v>
      </c>
      <c r="K504">
        <v>474</v>
      </c>
      <c r="L504">
        <v>1</v>
      </c>
    </row>
    <row r="505" spans="1:12">
      <c r="A505" t="s">
        <v>532</v>
      </c>
      <c r="B505" s="1">
        <v>45483</v>
      </c>
      <c r="C505" t="s">
        <v>24</v>
      </c>
      <c r="D505" s="9" t="s">
        <v>20</v>
      </c>
      <c r="E505" s="2">
        <v>45580</v>
      </c>
      <c r="F505" t="b">
        <v>0</v>
      </c>
      <c r="G505" t="s">
        <v>480</v>
      </c>
      <c r="H505">
        <v>52</v>
      </c>
      <c r="I505">
        <v>9</v>
      </c>
      <c r="J505">
        <v>5</v>
      </c>
      <c r="K505">
        <v>474</v>
      </c>
      <c r="L505">
        <v>1</v>
      </c>
    </row>
    <row r="506" spans="1:12">
      <c r="A506" t="s">
        <v>533</v>
      </c>
      <c r="B506" s="1">
        <v>45483</v>
      </c>
      <c r="C506" t="s">
        <v>33</v>
      </c>
      <c r="D506" s="9" t="s">
        <v>20</v>
      </c>
      <c r="E506" s="2">
        <v>45580</v>
      </c>
      <c r="F506" t="b">
        <v>1</v>
      </c>
      <c r="G506" t="s">
        <v>480</v>
      </c>
      <c r="H506">
        <v>52</v>
      </c>
      <c r="I506">
        <v>28</v>
      </c>
      <c r="J506">
        <v>4</v>
      </c>
      <c r="K506">
        <v>474</v>
      </c>
      <c r="L506">
        <v>1</v>
      </c>
    </row>
    <row r="507" spans="1:12">
      <c r="A507" t="s">
        <v>534</v>
      </c>
      <c r="B507" s="1">
        <v>45483</v>
      </c>
      <c r="C507" t="s">
        <v>37</v>
      </c>
      <c r="D507" s="9" t="s">
        <v>26</v>
      </c>
      <c r="E507" s="2">
        <v>45579</v>
      </c>
      <c r="F507" t="b">
        <v>0</v>
      </c>
      <c r="G507" t="s">
        <v>480</v>
      </c>
      <c r="H507">
        <v>52</v>
      </c>
      <c r="I507">
        <v>24</v>
      </c>
      <c r="J507">
        <v>1</v>
      </c>
      <c r="K507">
        <v>474</v>
      </c>
      <c r="L507">
        <v>1</v>
      </c>
    </row>
    <row r="508" spans="1:12">
      <c r="A508" t="s">
        <v>535</v>
      </c>
      <c r="B508" s="1">
        <v>45483</v>
      </c>
      <c r="C508" t="s">
        <v>24</v>
      </c>
      <c r="D508" s="9" t="s">
        <v>17</v>
      </c>
      <c r="E508" s="2">
        <v>45596</v>
      </c>
      <c r="F508" t="b">
        <v>1</v>
      </c>
      <c r="G508" t="s">
        <v>480</v>
      </c>
      <c r="H508">
        <v>52</v>
      </c>
      <c r="I508">
        <v>22</v>
      </c>
      <c r="J508">
        <v>4</v>
      </c>
      <c r="K508">
        <v>474</v>
      </c>
      <c r="L508">
        <v>1</v>
      </c>
    </row>
    <row r="509" spans="1:12">
      <c r="A509" t="s">
        <v>536</v>
      </c>
      <c r="B509" s="1">
        <v>45483</v>
      </c>
      <c r="C509" t="s">
        <v>13</v>
      </c>
      <c r="D509" s="9" t="s">
        <v>26</v>
      </c>
      <c r="E509" s="2">
        <v>45588</v>
      </c>
      <c r="F509" t="b">
        <v>0</v>
      </c>
      <c r="G509" t="s">
        <v>480</v>
      </c>
      <c r="H509">
        <v>52</v>
      </c>
      <c r="I509">
        <v>5</v>
      </c>
      <c r="J509">
        <v>3</v>
      </c>
      <c r="K509">
        <v>474</v>
      </c>
      <c r="L509">
        <v>1</v>
      </c>
    </row>
    <row r="510" spans="1:12">
      <c r="A510" t="s">
        <v>537</v>
      </c>
      <c r="B510" s="1">
        <v>45483</v>
      </c>
      <c r="C510" t="s">
        <v>30</v>
      </c>
      <c r="D510" s="9" t="s">
        <v>14</v>
      </c>
      <c r="E510" s="2">
        <v>45580</v>
      </c>
      <c r="F510" t="b">
        <v>0</v>
      </c>
      <c r="G510" t="s">
        <v>480</v>
      </c>
      <c r="H510">
        <v>52</v>
      </c>
      <c r="I510">
        <v>22</v>
      </c>
      <c r="J510">
        <v>2</v>
      </c>
      <c r="K510">
        <v>474</v>
      </c>
      <c r="L510">
        <v>1</v>
      </c>
    </row>
    <row r="511" spans="1:12">
      <c r="A511" t="s">
        <v>538</v>
      </c>
      <c r="B511" s="1">
        <v>45483</v>
      </c>
      <c r="C511" t="s">
        <v>33</v>
      </c>
      <c r="D511" s="9" t="s">
        <v>26</v>
      </c>
      <c r="E511" s="2">
        <v>45589</v>
      </c>
      <c r="F511" t="b">
        <v>0</v>
      </c>
      <c r="G511" t="s">
        <v>480</v>
      </c>
      <c r="H511">
        <v>52</v>
      </c>
      <c r="I511">
        <v>23</v>
      </c>
      <c r="J511">
        <v>11</v>
      </c>
      <c r="K511">
        <v>474</v>
      </c>
      <c r="L511">
        <v>0</v>
      </c>
    </row>
    <row r="512" spans="1:12">
      <c r="A512" t="s">
        <v>539</v>
      </c>
      <c r="B512" s="1">
        <v>45484</v>
      </c>
      <c r="C512" t="s">
        <v>22</v>
      </c>
      <c r="D512" s="9" t="s">
        <v>14</v>
      </c>
      <c r="E512" s="2">
        <v>45610</v>
      </c>
      <c r="F512" t="b">
        <v>1</v>
      </c>
      <c r="G512" t="s">
        <v>480</v>
      </c>
      <c r="H512">
        <v>51</v>
      </c>
      <c r="I512">
        <v>24</v>
      </c>
      <c r="J512">
        <v>4</v>
      </c>
      <c r="K512">
        <v>473</v>
      </c>
      <c r="L512">
        <v>1</v>
      </c>
    </row>
    <row r="513" spans="1:12">
      <c r="A513" t="s">
        <v>540</v>
      </c>
      <c r="B513" s="1">
        <v>45484</v>
      </c>
      <c r="C513" t="s">
        <v>22</v>
      </c>
      <c r="D513" s="9" t="s">
        <v>14</v>
      </c>
      <c r="E513" s="2">
        <v>45612</v>
      </c>
      <c r="F513" t="b">
        <v>1</v>
      </c>
      <c r="G513" t="s">
        <v>480</v>
      </c>
      <c r="H513">
        <v>51</v>
      </c>
      <c r="I513">
        <v>13</v>
      </c>
      <c r="J513">
        <v>2</v>
      </c>
      <c r="K513">
        <v>473</v>
      </c>
      <c r="L513">
        <v>1</v>
      </c>
    </row>
    <row r="514" spans="1:12">
      <c r="A514" t="s">
        <v>541</v>
      </c>
      <c r="B514" s="1">
        <v>45484</v>
      </c>
      <c r="C514" t="s">
        <v>13</v>
      </c>
      <c r="D514" s="9" t="s">
        <v>26</v>
      </c>
      <c r="E514" s="2">
        <v>45615</v>
      </c>
      <c r="F514" t="b">
        <v>1</v>
      </c>
      <c r="G514" t="s">
        <v>480</v>
      </c>
      <c r="H514">
        <v>51</v>
      </c>
      <c r="I514">
        <v>16</v>
      </c>
      <c r="J514">
        <v>2</v>
      </c>
      <c r="K514">
        <v>473</v>
      </c>
      <c r="L514">
        <v>1</v>
      </c>
    </row>
    <row r="515" spans="1:12">
      <c r="A515" t="s">
        <v>542</v>
      </c>
      <c r="B515" s="1">
        <v>45484</v>
      </c>
      <c r="C515" t="s">
        <v>51</v>
      </c>
      <c r="D515" s="9" t="s">
        <v>14</v>
      </c>
      <c r="E515" s="2">
        <v>45619</v>
      </c>
      <c r="F515" t="b">
        <v>1</v>
      </c>
      <c r="G515" t="s">
        <v>480</v>
      </c>
      <c r="H515">
        <v>51</v>
      </c>
      <c r="I515">
        <v>16</v>
      </c>
      <c r="J515">
        <v>1</v>
      </c>
      <c r="K515">
        <v>473</v>
      </c>
      <c r="L515">
        <v>1</v>
      </c>
    </row>
    <row r="516" spans="1:12">
      <c r="A516" t="s">
        <v>543</v>
      </c>
      <c r="B516" s="1">
        <v>45484</v>
      </c>
      <c r="C516" t="s">
        <v>33</v>
      </c>
      <c r="D516" s="9" t="s">
        <v>14</v>
      </c>
      <c r="E516" s="2">
        <v>45628</v>
      </c>
      <c r="F516" t="b">
        <v>0</v>
      </c>
      <c r="G516" t="s">
        <v>480</v>
      </c>
      <c r="H516">
        <v>51</v>
      </c>
      <c r="I516">
        <v>16</v>
      </c>
      <c r="J516">
        <v>2</v>
      </c>
      <c r="K516">
        <v>473</v>
      </c>
      <c r="L516">
        <v>1</v>
      </c>
    </row>
    <row r="517" spans="1:12">
      <c r="A517" t="s">
        <v>544</v>
      </c>
      <c r="B517" s="1">
        <v>45484</v>
      </c>
      <c r="C517" t="s">
        <v>37</v>
      </c>
      <c r="D517" s="9" t="s">
        <v>26</v>
      </c>
      <c r="E517" s="2">
        <v>45632</v>
      </c>
      <c r="F517" t="b">
        <v>1</v>
      </c>
      <c r="G517" t="s">
        <v>480</v>
      </c>
      <c r="H517">
        <v>51</v>
      </c>
      <c r="I517">
        <v>5</v>
      </c>
      <c r="J517">
        <v>1</v>
      </c>
      <c r="K517">
        <v>473</v>
      </c>
      <c r="L517">
        <v>1</v>
      </c>
    </row>
    <row r="518" spans="1:12">
      <c r="A518" t="s">
        <v>545</v>
      </c>
      <c r="B518" s="1">
        <v>45484</v>
      </c>
      <c r="C518" t="s">
        <v>13</v>
      </c>
      <c r="D518" s="9" t="s">
        <v>14</v>
      </c>
      <c r="E518" s="2">
        <v>45611</v>
      </c>
      <c r="F518" t="b">
        <v>0</v>
      </c>
      <c r="G518" t="s">
        <v>480</v>
      </c>
      <c r="H518">
        <v>51</v>
      </c>
      <c r="I518">
        <v>7</v>
      </c>
      <c r="J518">
        <v>1</v>
      </c>
      <c r="K518">
        <v>473</v>
      </c>
      <c r="L518">
        <v>1</v>
      </c>
    </row>
    <row r="519" spans="1:12">
      <c r="A519" t="s">
        <v>546</v>
      </c>
      <c r="B519" s="1">
        <v>45485</v>
      </c>
      <c r="C519" t="s">
        <v>22</v>
      </c>
      <c r="D519" s="9" t="s">
        <v>20</v>
      </c>
      <c r="E519" s="2">
        <v>45649</v>
      </c>
      <c r="F519" t="b">
        <v>0</v>
      </c>
      <c r="G519" t="s">
        <v>480</v>
      </c>
      <c r="H519">
        <v>50</v>
      </c>
      <c r="I519">
        <v>9</v>
      </c>
      <c r="J519">
        <v>5</v>
      </c>
      <c r="K519">
        <v>472</v>
      </c>
      <c r="L519">
        <v>1</v>
      </c>
    </row>
    <row r="520" spans="1:12">
      <c r="A520" t="s">
        <v>547</v>
      </c>
      <c r="B520" s="1">
        <v>45485</v>
      </c>
      <c r="C520" t="s">
        <v>13</v>
      </c>
      <c r="D520" s="9" t="s">
        <v>14</v>
      </c>
      <c r="E520" s="2">
        <v>45656</v>
      </c>
      <c r="F520" t="b">
        <v>0</v>
      </c>
      <c r="G520" t="s">
        <v>480</v>
      </c>
      <c r="H520">
        <v>50</v>
      </c>
      <c r="I520">
        <v>2</v>
      </c>
      <c r="J520">
        <v>1</v>
      </c>
      <c r="K520">
        <v>472</v>
      </c>
      <c r="L520">
        <v>1</v>
      </c>
    </row>
    <row r="521" spans="1:12">
      <c r="A521" t="s">
        <v>548</v>
      </c>
      <c r="B521" s="1">
        <v>45485</v>
      </c>
      <c r="C521" t="s">
        <v>37</v>
      </c>
      <c r="D521" s="9" t="s">
        <v>26</v>
      </c>
      <c r="E521" s="2">
        <v>45639</v>
      </c>
      <c r="F521" t="b">
        <v>0</v>
      </c>
      <c r="G521" t="s">
        <v>480</v>
      </c>
      <c r="H521">
        <v>50</v>
      </c>
      <c r="I521">
        <v>12</v>
      </c>
      <c r="J521">
        <v>1</v>
      </c>
      <c r="K521">
        <v>472</v>
      </c>
      <c r="L521">
        <v>1</v>
      </c>
    </row>
    <row r="522" spans="1:12">
      <c r="A522" t="s">
        <v>549</v>
      </c>
      <c r="B522" s="1">
        <v>45485</v>
      </c>
      <c r="C522" t="s">
        <v>13</v>
      </c>
      <c r="D522" s="9" t="s">
        <v>14</v>
      </c>
      <c r="E522" s="2">
        <v>45647</v>
      </c>
      <c r="F522" t="b">
        <v>0</v>
      </c>
      <c r="G522" t="s">
        <v>480</v>
      </c>
      <c r="H522">
        <v>50</v>
      </c>
      <c r="I522">
        <v>23</v>
      </c>
      <c r="J522">
        <v>0</v>
      </c>
      <c r="K522">
        <v>472</v>
      </c>
      <c r="L522">
        <v>1</v>
      </c>
    </row>
    <row r="523" spans="1:12">
      <c r="A523" t="s">
        <v>550</v>
      </c>
      <c r="B523" s="1">
        <v>45485</v>
      </c>
      <c r="C523" t="s">
        <v>30</v>
      </c>
      <c r="D523" s="9" t="s">
        <v>20</v>
      </c>
      <c r="E523" s="2">
        <v>45643</v>
      </c>
      <c r="F523" t="b">
        <v>1</v>
      </c>
      <c r="G523" t="s">
        <v>480</v>
      </c>
      <c r="H523">
        <v>50</v>
      </c>
      <c r="I523">
        <v>1</v>
      </c>
      <c r="J523">
        <v>6</v>
      </c>
      <c r="K523">
        <v>472</v>
      </c>
      <c r="L523">
        <v>1</v>
      </c>
    </row>
    <row r="524" spans="1:12">
      <c r="A524" t="s">
        <v>551</v>
      </c>
      <c r="B524" s="1">
        <v>45485</v>
      </c>
      <c r="C524" t="s">
        <v>33</v>
      </c>
      <c r="D524" s="9" t="s">
        <v>26</v>
      </c>
      <c r="E524" s="2">
        <v>45651</v>
      </c>
      <c r="F524" t="b">
        <v>1</v>
      </c>
      <c r="G524" t="s">
        <v>480</v>
      </c>
      <c r="H524">
        <v>50</v>
      </c>
      <c r="I524">
        <v>8</v>
      </c>
      <c r="J524">
        <v>1</v>
      </c>
      <c r="K524">
        <v>472</v>
      </c>
      <c r="L524">
        <v>1</v>
      </c>
    </row>
    <row r="525" spans="1:12">
      <c r="A525" t="s">
        <v>552</v>
      </c>
      <c r="B525" s="1">
        <v>45485</v>
      </c>
      <c r="C525" t="s">
        <v>37</v>
      </c>
      <c r="D525" s="9" t="s">
        <v>17</v>
      </c>
      <c r="E525" s="2">
        <v>45651</v>
      </c>
      <c r="F525" t="b">
        <v>0</v>
      </c>
      <c r="G525" t="s">
        <v>480</v>
      </c>
      <c r="H525">
        <v>50</v>
      </c>
      <c r="I525">
        <v>27</v>
      </c>
      <c r="J525">
        <v>17</v>
      </c>
      <c r="K525">
        <v>472</v>
      </c>
      <c r="L525">
        <v>0</v>
      </c>
    </row>
    <row r="526" spans="1:12">
      <c r="A526" t="s">
        <v>553</v>
      </c>
      <c r="B526" s="1">
        <v>45485</v>
      </c>
      <c r="C526" t="s">
        <v>19</v>
      </c>
      <c r="D526" s="9" t="s">
        <v>14</v>
      </c>
      <c r="E526" s="2">
        <v>45651</v>
      </c>
      <c r="F526" t="b">
        <v>1</v>
      </c>
      <c r="G526" t="s">
        <v>480</v>
      </c>
      <c r="H526">
        <v>50</v>
      </c>
      <c r="I526">
        <v>22</v>
      </c>
      <c r="J526">
        <v>0</v>
      </c>
      <c r="K526">
        <v>472</v>
      </c>
      <c r="L526">
        <v>1</v>
      </c>
    </row>
    <row r="527" spans="1:12">
      <c r="A527" t="s">
        <v>554</v>
      </c>
      <c r="B527" s="1">
        <v>45376.424305555556</v>
      </c>
      <c r="C527" t="s">
        <v>37</v>
      </c>
      <c r="D527" s="9" t="s">
        <v>14</v>
      </c>
      <c r="E527" s="2">
        <v>45526</v>
      </c>
      <c r="F527" t="b">
        <v>1</v>
      </c>
      <c r="G527" t="s">
        <v>480</v>
      </c>
      <c r="H527">
        <v>49</v>
      </c>
      <c r="I527">
        <v>9</v>
      </c>
      <c r="J527">
        <v>1</v>
      </c>
      <c r="K527">
        <v>364</v>
      </c>
      <c r="L527">
        <v>2</v>
      </c>
    </row>
    <row r="528" spans="1:12">
      <c r="A528" t="s">
        <v>555</v>
      </c>
      <c r="B528" s="1">
        <v>45369.354166666664</v>
      </c>
      <c r="C528" t="s">
        <v>30</v>
      </c>
      <c r="D528" s="9" t="s">
        <v>14</v>
      </c>
      <c r="E528" s="2">
        <v>45523</v>
      </c>
      <c r="F528" t="b">
        <v>0</v>
      </c>
      <c r="G528" t="s">
        <v>480</v>
      </c>
      <c r="H528">
        <v>49</v>
      </c>
      <c r="I528">
        <v>18</v>
      </c>
      <c r="J528">
        <v>1</v>
      </c>
      <c r="K528">
        <v>345</v>
      </c>
      <c r="L528">
        <v>2</v>
      </c>
    </row>
    <row r="529" spans="1:12">
      <c r="A529" t="s">
        <v>556</v>
      </c>
      <c r="B529" s="1">
        <v>45494.003472222219</v>
      </c>
      <c r="C529" t="s">
        <v>13</v>
      </c>
      <c r="D529" s="9" t="s">
        <v>26</v>
      </c>
      <c r="E529" s="2">
        <v>45523</v>
      </c>
      <c r="F529" t="b">
        <v>1</v>
      </c>
      <c r="G529" t="s">
        <v>480</v>
      </c>
      <c r="H529">
        <v>49</v>
      </c>
      <c r="I529">
        <v>12</v>
      </c>
      <c r="J529">
        <v>2</v>
      </c>
      <c r="K529">
        <v>340</v>
      </c>
      <c r="L529">
        <v>2</v>
      </c>
    </row>
    <row r="530" spans="1:12">
      <c r="A530" t="s">
        <v>557</v>
      </c>
      <c r="B530" s="1">
        <v>45473.631249999999</v>
      </c>
      <c r="C530" t="s">
        <v>30</v>
      </c>
      <c r="D530" s="9" t="s">
        <v>14</v>
      </c>
      <c r="E530" s="2">
        <v>45519</v>
      </c>
      <c r="F530" t="b">
        <v>0</v>
      </c>
      <c r="G530" t="s">
        <v>480</v>
      </c>
      <c r="H530">
        <v>49</v>
      </c>
      <c r="I530">
        <v>21</v>
      </c>
      <c r="J530">
        <v>1</v>
      </c>
      <c r="K530">
        <v>376</v>
      </c>
      <c r="L530">
        <v>2</v>
      </c>
    </row>
    <row r="531" spans="1:12">
      <c r="A531" t="s">
        <v>558</v>
      </c>
      <c r="B531" s="1">
        <v>45600</v>
      </c>
      <c r="C531" t="s">
        <v>13</v>
      </c>
      <c r="D531" s="9" t="s">
        <v>26</v>
      </c>
      <c r="E531" s="2">
        <v>45509</v>
      </c>
      <c r="F531" t="b">
        <v>0</v>
      </c>
      <c r="G531" t="s">
        <v>480</v>
      </c>
      <c r="H531">
        <v>49</v>
      </c>
      <c r="I531">
        <v>6</v>
      </c>
      <c r="J531">
        <v>6</v>
      </c>
      <c r="K531">
        <v>357</v>
      </c>
      <c r="L531">
        <v>1</v>
      </c>
    </row>
    <row r="532" spans="1:12">
      <c r="A532" t="s">
        <v>559</v>
      </c>
      <c r="B532" s="1">
        <v>45466.137499999997</v>
      </c>
      <c r="C532" t="s">
        <v>51</v>
      </c>
      <c r="D532" s="9" t="s">
        <v>14</v>
      </c>
      <c r="E532" s="2">
        <v>45506</v>
      </c>
      <c r="F532" t="b">
        <v>0</v>
      </c>
      <c r="G532" t="s">
        <v>480</v>
      </c>
      <c r="H532">
        <v>49</v>
      </c>
      <c r="I532">
        <v>16</v>
      </c>
      <c r="J532">
        <v>2</v>
      </c>
      <c r="K532">
        <v>366</v>
      </c>
      <c r="L532">
        <v>2</v>
      </c>
    </row>
    <row r="533" spans="1:12">
      <c r="A533" t="s">
        <v>560</v>
      </c>
      <c r="B533" s="1">
        <v>45414.472916666666</v>
      </c>
      <c r="C533" t="s">
        <v>37</v>
      </c>
      <c r="D533" s="9" t="s">
        <v>20</v>
      </c>
      <c r="E533" s="2">
        <v>45534</v>
      </c>
      <c r="F533" t="b">
        <v>0</v>
      </c>
      <c r="G533" t="s">
        <v>480</v>
      </c>
      <c r="H533">
        <v>49</v>
      </c>
      <c r="I533">
        <v>13</v>
      </c>
      <c r="J533">
        <v>4</v>
      </c>
      <c r="K533">
        <v>531</v>
      </c>
      <c r="L533">
        <v>2</v>
      </c>
    </row>
    <row r="534" spans="1:12">
      <c r="A534" t="s">
        <v>561</v>
      </c>
      <c r="B534" s="1">
        <v>45505.834722222222</v>
      </c>
      <c r="C534" t="s">
        <v>30</v>
      </c>
      <c r="D534" s="9" t="s">
        <v>26</v>
      </c>
      <c r="E534" s="2">
        <v>45512</v>
      </c>
      <c r="F534" t="b">
        <v>1</v>
      </c>
      <c r="G534" t="s">
        <v>480</v>
      </c>
      <c r="H534">
        <v>49</v>
      </c>
      <c r="I534">
        <v>23</v>
      </c>
      <c r="J534">
        <v>2</v>
      </c>
      <c r="K534">
        <v>503</v>
      </c>
      <c r="L534">
        <v>2</v>
      </c>
    </row>
    <row r="535" spans="1:12">
      <c r="A535" t="s">
        <v>562</v>
      </c>
      <c r="B535" s="1">
        <v>45416.163888888892</v>
      </c>
      <c r="C535" t="s">
        <v>13</v>
      </c>
      <c r="D535" s="9" t="s">
        <v>26</v>
      </c>
      <c r="E535" s="2">
        <v>45513</v>
      </c>
      <c r="F535" t="b">
        <v>0</v>
      </c>
      <c r="G535" t="s">
        <v>480</v>
      </c>
      <c r="H535">
        <v>49</v>
      </c>
      <c r="I535">
        <v>20</v>
      </c>
      <c r="J535">
        <v>4</v>
      </c>
      <c r="K535">
        <v>613</v>
      </c>
      <c r="L535">
        <v>2</v>
      </c>
    </row>
    <row r="536" spans="1:12">
      <c r="A536" t="s">
        <v>563</v>
      </c>
      <c r="B536" s="1">
        <v>45568.988194444442</v>
      </c>
      <c r="C536" t="s">
        <v>51</v>
      </c>
      <c r="D536" s="9" t="s">
        <v>17</v>
      </c>
      <c r="E536" s="2">
        <v>45505</v>
      </c>
      <c r="F536" t="b">
        <v>1</v>
      </c>
      <c r="G536" t="s">
        <v>480</v>
      </c>
      <c r="H536">
        <v>49</v>
      </c>
      <c r="I536">
        <v>30</v>
      </c>
      <c r="J536">
        <v>13</v>
      </c>
      <c r="K536">
        <v>401</v>
      </c>
      <c r="L536">
        <v>0</v>
      </c>
    </row>
    <row r="537" spans="1:12">
      <c r="A537" t="s">
        <v>564</v>
      </c>
      <c r="B537" s="1">
        <v>45571.67291666667</v>
      </c>
      <c r="C537" t="s">
        <v>13</v>
      </c>
      <c r="D537" s="9" t="s">
        <v>14</v>
      </c>
      <c r="E537" s="2">
        <v>45517</v>
      </c>
      <c r="F537" t="b">
        <v>0</v>
      </c>
      <c r="G537" t="s">
        <v>480</v>
      </c>
      <c r="H537">
        <v>49</v>
      </c>
      <c r="I537">
        <v>28</v>
      </c>
      <c r="J537">
        <v>1</v>
      </c>
      <c r="K537">
        <v>601</v>
      </c>
      <c r="L537">
        <v>2</v>
      </c>
    </row>
    <row r="538" spans="1:12">
      <c r="A538" t="s">
        <v>565</v>
      </c>
      <c r="B538" s="1">
        <v>45391</v>
      </c>
      <c r="C538" t="s">
        <v>51</v>
      </c>
      <c r="D538" s="9" t="s">
        <v>14</v>
      </c>
      <c r="E538" s="2">
        <v>45511</v>
      </c>
      <c r="F538" t="b">
        <v>0</v>
      </c>
      <c r="G538" t="s">
        <v>480</v>
      </c>
      <c r="H538">
        <v>48</v>
      </c>
      <c r="I538">
        <v>4</v>
      </c>
      <c r="J538">
        <v>1</v>
      </c>
      <c r="K538">
        <v>566</v>
      </c>
      <c r="L538">
        <v>1</v>
      </c>
    </row>
    <row r="539" spans="1:12">
      <c r="A539" t="s">
        <v>566</v>
      </c>
      <c r="B539" s="1">
        <v>45349.186805555553</v>
      </c>
      <c r="C539" t="s">
        <v>13</v>
      </c>
      <c r="D539" s="9" t="s">
        <v>20</v>
      </c>
      <c r="E539" s="2">
        <v>45506</v>
      </c>
      <c r="F539" t="b">
        <v>1</v>
      </c>
      <c r="G539" t="s">
        <v>480</v>
      </c>
      <c r="H539">
        <v>48</v>
      </c>
      <c r="I539">
        <v>29</v>
      </c>
      <c r="J539">
        <v>5</v>
      </c>
      <c r="K539">
        <v>653</v>
      </c>
      <c r="L539">
        <v>2</v>
      </c>
    </row>
    <row r="540" spans="1:12">
      <c r="A540" t="s">
        <v>567</v>
      </c>
      <c r="B540" s="1">
        <v>45637</v>
      </c>
      <c r="C540" t="s">
        <v>13</v>
      </c>
      <c r="D540" s="9" t="s">
        <v>14</v>
      </c>
      <c r="E540" s="2">
        <v>45533</v>
      </c>
      <c r="F540" t="b">
        <v>1</v>
      </c>
      <c r="G540" t="s">
        <v>480</v>
      </c>
      <c r="H540">
        <v>48</v>
      </c>
      <c r="I540">
        <v>2</v>
      </c>
      <c r="J540">
        <v>3</v>
      </c>
      <c r="K540">
        <v>320</v>
      </c>
      <c r="L540">
        <v>1</v>
      </c>
    </row>
    <row r="541" spans="1:12">
      <c r="A541" t="s">
        <v>568</v>
      </c>
      <c r="B541" s="1">
        <v>45329</v>
      </c>
      <c r="C541" t="s">
        <v>33</v>
      </c>
      <c r="D541" s="9" t="s">
        <v>20</v>
      </c>
      <c r="E541" s="2">
        <v>45530</v>
      </c>
      <c r="F541" t="b">
        <v>0</v>
      </c>
      <c r="G541" t="s">
        <v>480</v>
      </c>
      <c r="H541">
        <v>48</v>
      </c>
      <c r="I541">
        <v>3</v>
      </c>
      <c r="J541">
        <v>4</v>
      </c>
      <c r="K541">
        <v>628</v>
      </c>
      <c r="L541">
        <v>1</v>
      </c>
    </row>
    <row r="542" spans="1:12">
      <c r="A542" t="s">
        <v>569</v>
      </c>
      <c r="B542" s="1">
        <v>45294</v>
      </c>
      <c r="C542" t="s">
        <v>13</v>
      </c>
      <c r="D542" s="9" t="s">
        <v>14</v>
      </c>
      <c r="E542" s="2">
        <v>45519</v>
      </c>
      <c r="F542" t="b">
        <v>0</v>
      </c>
      <c r="G542" t="s">
        <v>480</v>
      </c>
      <c r="H542">
        <v>48</v>
      </c>
      <c r="I542">
        <v>27</v>
      </c>
      <c r="J542">
        <v>1</v>
      </c>
      <c r="K542">
        <v>663</v>
      </c>
      <c r="L542">
        <v>1</v>
      </c>
    </row>
    <row r="543" spans="1:12">
      <c r="A543" t="s">
        <v>570</v>
      </c>
      <c r="B543" s="1">
        <v>45468.049305555556</v>
      </c>
      <c r="C543" t="s">
        <v>24</v>
      </c>
      <c r="D543" s="9" t="s">
        <v>14</v>
      </c>
      <c r="E543" s="2">
        <v>45527</v>
      </c>
      <c r="F543" t="b">
        <v>0</v>
      </c>
      <c r="G543" t="s">
        <v>480</v>
      </c>
      <c r="H543">
        <v>48</v>
      </c>
      <c r="I543">
        <v>4</v>
      </c>
      <c r="J543">
        <v>1</v>
      </c>
      <c r="K543">
        <v>399</v>
      </c>
      <c r="L543">
        <v>2</v>
      </c>
    </row>
    <row r="544" spans="1:12">
      <c r="A544" t="s">
        <v>571</v>
      </c>
      <c r="B544" s="1">
        <v>45307.527083333334</v>
      </c>
      <c r="C544" t="s">
        <v>22</v>
      </c>
      <c r="D544" s="9" t="s">
        <v>14</v>
      </c>
      <c r="E544" s="2">
        <v>45517</v>
      </c>
      <c r="F544" t="b">
        <v>1</v>
      </c>
      <c r="G544" t="s">
        <v>480</v>
      </c>
      <c r="H544">
        <v>48</v>
      </c>
      <c r="I544">
        <v>18</v>
      </c>
      <c r="J544">
        <v>1</v>
      </c>
      <c r="K544">
        <v>585</v>
      </c>
      <c r="L544">
        <v>2</v>
      </c>
    </row>
    <row r="545" spans="1:12">
      <c r="A545" t="s">
        <v>572</v>
      </c>
      <c r="B545" s="1">
        <v>45339.86041666667</v>
      </c>
      <c r="C545" t="s">
        <v>33</v>
      </c>
      <c r="D545" s="9" t="s">
        <v>14</v>
      </c>
      <c r="E545" s="2">
        <v>45520</v>
      </c>
      <c r="F545" t="b">
        <v>0</v>
      </c>
      <c r="G545" t="s">
        <v>480</v>
      </c>
      <c r="H545">
        <v>47</v>
      </c>
      <c r="I545">
        <v>24</v>
      </c>
      <c r="J545">
        <v>1</v>
      </c>
      <c r="K545">
        <v>366</v>
      </c>
      <c r="L545">
        <v>2</v>
      </c>
    </row>
    <row r="546" spans="1:12">
      <c r="A546" t="s">
        <v>573</v>
      </c>
      <c r="B546" s="1">
        <v>45628.468055555553</v>
      </c>
      <c r="C546" t="s">
        <v>13</v>
      </c>
      <c r="D546" s="9" t="s">
        <v>14</v>
      </c>
      <c r="E546" s="2">
        <v>45524</v>
      </c>
      <c r="F546" t="b">
        <v>1</v>
      </c>
      <c r="G546" t="s">
        <v>480</v>
      </c>
      <c r="H546">
        <v>47</v>
      </c>
      <c r="I546">
        <v>11</v>
      </c>
      <c r="J546">
        <v>1</v>
      </c>
      <c r="K546">
        <v>490</v>
      </c>
      <c r="L546">
        <v>2</v>
      </c>
    </row>
    <row r="547" spans="1:12">
      <c r="A547" t="s">
        <v>574</v>
      </c>
      <c r="B547" s="1">
        <v>45519.98333333333</v>
      </c>
      <c r="C547" t="s">
        <v>30</v>
      </c>
      <c r="D547" s="9" t="s">
        <v>14</v>
      </c>
      <c r="E547" s="2">
        <v>45508</v>
      </c>
      <c r="F547" t="b">
        <v>0</v>
      </c>
      <c r="G547" t="s">
        <v>480</v>
      </c>
      <c r="H547">
        <v>47</v>
      </c>
      <c r="I547">
        <v>23</v>
      </c>
      <c r="J547">
        <v>1</v>
      </c>
      <c r="K547">
        <v>459</v>
      </c>
      <c r="L547">
        <v>2</v>
      </c>
    </row>
    <row r="548" spans="1:12">
      <c r="A548" t="s">
        <v>575</v>
      </c>
      <c r="B548" s="1">
        <v>45449</v>
      </c>
      <c r="C548" t="s">
        <v>37</v>
      </c>
      <c r="D548" s="9" t="s">
        <v>14</v>
      </c>
      <c r="E548" s="2">
        <v>45527</v>
      </c>
      <c r="F548" t="b">
        <v>0</v>
      </c>
      <c r="G548" t="s">
        <v>480</v>
      </c>
      <c r="H548">
        <v>47</v>
      </c>
      <c r="I548">
        <v>1</v>
      </c>
      <c r="J548">
        <v>2</v>
      </c>
      <c r="K548">
        <v>508</v>
      </c>
      <c r="L548">
        <v>1</v>
      </c>
    </row>
    <row r="549" spans="1:12">
      <c r="A549" t="s">
        <v>576</v>
      </c>
      <c r="B549" s="1">
        <v>45636</v>
      </c>
      <c r="C549" t="s">
        <v>51</v>
      </c>
      <c r="D549" s="9" t="s">
        <v>14</v>
      </c>
      <c r="E549" s="2">
        <v>45520</v>
      </c>
      <c r="F549" t="b">
        <v>0</v>
      </c>
      <c r="G549" t="s">
        <v>480</v>
      </c>
      <c r="H549">
        <v>47</v>
      </c>
      <c r="I549">
        <v>2</v>
      </c>
      <c r="J549">
        <v>1</v>
      </c>
      <c r="K549">
        <v>321</v>
      </c>
      <c r="L549">
        <v>1</v>
      </c>
    </row>
    <row r="550" spans="1:12">
      <c r="A550" t="s">
        <v>577</v>
      </c>
      <c r="B550" s="1">
        <v>45473.500694444447</v>
      </c>
      <c r="C550" t="s">
        <v>13</v>
      </c>
      <c r="D550" s="9" t="s">
        <v>20</v>
      </c>
      <c r="E550" s="2">
        <v>45517</v>
      </c>
      <c r="F550" t="b">
        <v>1</v>
      </c>
      <c r="G550" t="s">
        <v>480</v>
      </c>
      <c r="H550">
        <v>47</v>
      </c>
      <c r="I550">
        <v>18</v>
      </c>
      <c r="J550">
        <v>18</v>
      </c>
      <c r="K550">
        <v>397</v>
      </c>
      <c r="L550">
        <v>0</v>
      </c>
    </row>
    <row r="551" spans="1:12">
      <c r="A551" t="s">
        <v>578</v>
      </c>
      <c r="B551" s="1">
        <v>45471.699305555558</v>
      </c>
      <c r="C551" t="s">
        <v>19</v>
      </c>
      <c r="D551" s="9" t="s">
        <v>14</v>
      </c>
      <c r="E551" s="2">
        <v>45519</v>
      </c>
      <c r="F551" t="b">
        <v>0</v>
      </c>
      <c r="G551" t="s">
        <v>480</v>
      </c>
      <c r="H551">
        <v>47</v>
      </c>
      <c r="I551">
        <v>6</v>
      </c>
      <c r="J551">
        <v>1</v>
      </c>
      <c r="K551">
        <v>598</v>
      </c>
      <c r="L551">
        <v>2</v>
      </c>
    </row>
    <row r="552" spans="1:12">
      <c r="A552" t="s">
        <v>579</v>
      </c>
      <c r="B552" s="1">
        <v>45464.942361111112</v>
      </c>
      <c r="C552" t="s">
        <v>30</v>
      </c>
      <c r="D552" s="9" t="s">
        <v>26</v>
      </c>
      <c r="E552" s="2">
        <v>45518</v>
      </c>
      <c r="F552" t="b">
        <v>0</v>
      </c>
      <c r="G552" t="s">
        <v>480</v>
      </c>
      <c r="H552">
        <v>46</v>
      </c>
      <c r="I552">
        <v>14</v>
      </c>
      <c r="J552">
        <v>2</v>
      </c>
      <c r="K552">
        <v>556</v>
      </c>
      <c r="L552">
        <v>2</v>
      </c>
    </row>
    <row r="553" spans="1:12">
      <c r="A553" t="s">
        <v>580</v>
      </c>
      <c r="B553" s="1">
        <v>45301.618055555555</v>
      </c>
      <c r="C553" t="s">
        <v>37</v>
      </c>
      <c r="D553" s="9" t="s">
        <v>20</v>
      </c>
      <c r="E553" s="2">
        <v>45518</v>
      </c>
      <c r="F553" t="b">
        <v>1</v>
      </c>
      <c r="G553" t="s">
        <v>480</v>
      </c>
      <c r="H553">
        <v>46</v>
      </c>
      <c r="I553">
        <v>17</v>
      </c>
      <c r="J553">
        <v>2</v>
      </c>
      <c r="K553">
        <v>456</v>
      </c>
      <c r="L553">
        <v>2</v>
      </c>
    </row>
    <row r="554" spans="1:12">
      <c r="A554" t="s">
        <v>581</v>
      </c>
      <c r="B554" s="1">
        <v>45576</v>
      </c>
      <c r="C554" t="s">
        <v>22</v>
      </c>
      <c r="D554" s="9" t="s">
        <v>26</v>
      </c>
      <c r="E554" s="2">
        <v>45518</v>
      </c>
      <c r="F554" t="b">
        <v>1</v>
      </c>
      <c r="G554" t="s">
        <v>480</v>
      </c>
      <c r="H554">
        <v>46</v>
      </c>
      <c r="I554">
        <v>17</v>
      </c>
      <c r="J554">
        <v>3</v>
      </c>
      <c r="K554">
        <v>381</v>
      </c>
      <c r="L554">
        <v>1</v>
      </c>
    </row>
    <row r="555" spans="1:12">
      <c r="A555" t="s">
        <v>582</v>
      </c>
      <c r="B555" s="1">
        <v>45359</v>
      </c>
      <c r="C555" t="s">
        <v>33</v>
      </c>
      <c r="D555" s="9" t="s">
        <v>14</v>
      </c>
      <c r="E555" s="2">
        <v>45528</v>
      </c>
      <c r="F555" t="b">
        <v>1</v>
      </c>
      <c r="G555" t="s">
        <v>480</v>
      </c>
      <c r="H555">
        <v>46</v>
      </c>
      <c r="I555">
        <v>7</v>
      </c>
      <c r="J555">
        <v>1</v>
      </c>
      <c r="K555">
        <v>598</v>
      </c>
      <c r="L555">
        <v>1</v>
      </c>
    </row>
    <row r="556" spans="1:12">
      <c r="A556" t="s">
        <v>583</v>
      </c>
      <c r="B556" s="1">
        <v>45613.729861111111</v>
      </c>
      <c r="C556" t="s">
        <v>19</v>
      </c>
      <c r="D556" s="9" t="s">
        <v>26</v>
      </c>
      <c r="E556" s="2">
        <v>45524</v>
      </c>
      <c r="F556" t="b">
        <v>1</v>
      </c>
      <c r="G556" t="s">
        <v>480</v>
      </c>
      <c r="H556">
        <v>46</v>
      </c>
      <c r="I556">
        <v>11</v>
      </c>
      <c r="J556">
        <v>2</v>
      </c>
      <c r="K556">
        <v>531</v>
      </c>
      <c r="L556">
        <v>2</v>
      </c>
    </row>
    <row r="557" spans="1:12">
      <c r="A557" t="s">
        <v>584</v>
      </c>
      <c r="B557" s="1">
        <v>45491.709027777775</v>
      </c>
      <c r="C557" t="s">
        <v>13</v>
      </c>
      <c r="D557" s="9" t="s">
        <v>14</v>
      </c>
      <c r="E557" s="2">
        <v>45526</v>
      </c>
      <c r="F557" t="b">
        <v>0</v>
      </c>
      <c r="G557" t="s">
        <v>480</v>
      </c>
      <c r="H557">
        <v>46</v>
      </c>
      <c r="I557">
        <v>19</v>
      </c>
      <c r="J557">
        <v>0</v>
      </c>
      <c r="K557">
        <v>393</v>
      </c>
      <c r="L557">
        <v>2</v>
      </c>
    </row>
    <row r="558" spans="1:12">
      <c r="A558" t="s">
        <v>585</v>
      </c>
      <c r="B558" s="1">
        <v>45637</v>
      </c>
      <c r="C558" t="s">
        <v>51</v>
      </c>
      <c r="D558" s="9" t="s">
        <v>14</v>
      </c>
      <c r="E558" s="2">
        <v>45526</v>
      </c>
      <c r="F558" t="b">
        <v>0</v>
      </c>
      <c r="G558" t="s">
        <v>480</v>
      </c>
      <c r="H558">
        <v>46</v>
      </c>
      <c r="I558">
        <v>17</v>
      </c>
      <c r="J558">
        <v>1</v>
      </c>
      <c r="K558">
        <v>320</v>
      </c>
      <c r="L558">
        <v>1</v>
      </c>
    </row>
    <row r="559" spans="1:12">
      <c r="A559" t="s">
        <v>586</v>
      </c>
      <c r="B559" s="1">
        <v>45459.177083333336</v>
      </c>
      <c r="C559" t="s">
        <v>19</v>
      </c>
      <c r="D559" s="9" t="s">
        <v>26</v>
      </c>
      <c r="E559" s="2">
        <v>45514</v>
      </c>
      <c r="F559" t="b">
        <v>1</v>
      </c>
      <c r="G559" t="s">
        <v>480</v>
      </c>
      <c r="H559">
        <v>46</v>
      </c>
      <c r="I559">
        <v>21</v>
      </c>
      <c r="J559">
        <v>9</v>
      </c>
      <c r="K559">
        <v>456</v>
      </c>
      <c r="L559">
        <v>0</v>
      </c>
    </row>
    <row r="560" spans="1:12">
      <c r="A560" t="s">
        <v>587</v>
      </c>
      <c r="B560" s="1">
        <v>45392.821527777778</v>
      </c>
      <c r="C560" t="s">
        <v>24</v>
      </c>
      <c r="D560" s="9" t="s">
        <v>26</v>
      </c>
      <c r="E560" s="2">
        <v>45506</v>
      </c>
      <c r="F560" t="b">
        <v>1</v>
      </c>
      <c r="G560" t="s">
        <v>480</v>
      </c>
      <c r="H560">
        <v>46</v>
      </c>
      <c r="I560">
        <v>29</v>
      </c>
      <c r="J560">
        <v>3</v>
      </c>
      <c r="K560">
        <v>498</v>
      </c>
      <c r="L560">
        <v>2</v>
      </c>
    </row>
    <row r="561" spans="1:12">
      <c r="A561" t="s">
        <v>588</v>
      </c>
      <c r="B561" s="1">
        <v>45542</v>
      </c>
      <c r="C561" t="s">
        <v>13</v>
      </c>
      <c r="D561" s="9" t="s">
        <v>26</v>
      </c>
      <c r="E561" s="2">
        <v>45522</v>
      </c>
      <c r="F561" t="b">
        <v>0</v>
      </c>
      <c r="G561" t="s">
        <v>480</v>
      </c>
      <c r="H561">
        <v>45</v>
      </c>
      <c r="I561">
        <v>2</v>
      </c>
      <c r="J561">
        <v>5</v>
      </c>
      <c r="K561">
        <v>415</v>
      </c>
      <c r="L561">
        <v>1</v>
      </c>
    </row>
    <row r="562" spans="1:12">
      <c r="A562" t="s">
        <v>589</v>
      </c>
      <c r="B562" s="1">
        <v>45629</v>
      </c>
      <c r="C562" t="s">
        <v>37</v>
      </c>
      <c r="D562" s="9" t="s">
        <v>20</v>
      </c>
      <c r="E562" s="2">
        <v>45507</v>
      </c>
      <c r="F562" t="b">
        <v>1</v>
      </c>
      <c r="G562" t="s">
        <v>480</v>
      </c>
      <c r="H562">
        <v>45</v>
      </c>
      <c r="I562">
        <v>28</v>
      </c>
      <c r="J562">
        <v>7</v>
      </c>
      <c r="K562">
        <v>328</v>
      </c>
      <c r="L562">
        <v>1</v>
      </c>
    </row>
    <row r="563" spans="1:12">
      <c r="A563" t="s">
        <v>590</v>
      </c>
      <c r="B563" s="1">
        <v>45451.943749999999</v>
      </c>
      <c r="C563" t="s">
        <v>51</v>
      </c>
      <c r="D563" s="9" t="s">
        <v>26</v>
      </c>
      <c r="E563" s="2">
        <v>45505</v>
      </c>
      <c r="F563" t="b">
        <v>1</v>
      </c>
      <c r="G563" t="s">
        <v>480</v>
      </c>
      <c r="H563">
        <v>45</v>
      </c>
      <c r="I563">
        <v>30</v>
      </c>
      <c r="J563">
        <v>1</v>
      </c>
      <c r="K563">
        <v>473</v>
      </c>
      <c r="L563">
        <v>2</v>
      </c>
    </row>
    <row r="564" spans="1:12">
      <c r="A564" t="s">
        <v>591</v>
      </c>
      <c r="B564" s="1">
        <v>45572.212500000001</v>
      </c>
      <c r="C564" t="s">
        <v>37</v>
      </c>
      <c r="D564" s="9" t="s">
        <v>26</v>
      </c>
      <c r="E564" s="2">
        <v>45522</v>
      </c>
      <c r="F564" t="b">
        <v>1</v>
      </c>
      <c r="G564" t="s">
        <v>480</v>
      </c>
      <c r="H564">
        <v>45</v>
      </c>
      <c r="I564">
        <v>13</v>
      </c>
      <c r="J564">
        <v>6</v>
      </c>
      <c r="K564">
        <v>377</v>
      </c>
      <c r="L564">
        <v>2</v>
      </c>
    </row>
    <row r="565" spans="1:12">
      <c r="A565" t="s">
        <v>592</v>
      </c>
      <c r="B565" s="1">
        <v>45300</v>
      </c>
      <c r="C565" t="s">
        <v>37</v>
      </c>
      <c r="D565" s="9" t="s">
        <v>26</v>
      </c>
      <c r="E565" s="2">
        <v>45522</v>
      </c>
      <c r="F565" t="b">
        <v>0</v>
      </c>
      <c r="G565" t="s">
        <v>480</v>
      </c>
      <c r="H565">
        <v>45</v>
      </c>
      <c r="I565">
        <v>6</v>
      </c>
      <c r="J565">
        <v>1</v>
      </c>
      <c r="K565">
        <v>657</v>
      </c>
      <c r="L565">
        <v>1</v>
      </c>
    </row>
    <row r="566" spans="1:12">
      <c r="A566" t="s">
        <v>593</v>
      </c>
      <c r="B566" s="1">
        <v>45424.324305555558</v>
      </c>
      <c r="C566" t="s">
        <v>33</v>
      </c>
      <c r="D566" s="9" t="s">
        <v>14</v>
      </c>
      <c r="E566" s="2">
        <v>45528</v>
      </c>
      <c r="F566" t="b">
        <v>1</v>
      </c>
      <c r="G566" t="s">
        <v>480</v>
      </c>
      <c r="H566">
        <v>45</v>
      </c>
      <c r="I566">
        <v>7</v>
      </c>
      <c r="J566">
        <v>1</v>
      </c>
      <c r="K566">
        <v>608</v>
      </c>
      <c r="L566">
        <v>2</v>
      </c>
    </row>
    <row r="567" spans="1:12">
      <c r="A567" t="s">
        <v>594</v>
      </c>
      <c r="B567" s="1">
        <v>45332</v>
      </c>
      <c r="C567" t="s">
        <v>37</v>
      </c>
      <c r="D567" s="9" t="s">
        <v>26</v>
      </c>
      <c r="E567" s="2">
        <v>45531</v>
      </c>
      <c r="F567" t="b">
        <v>0</v>
      </c>
      <c r="G567" t="s">
        <v>480</v>
      </c>
      <c r="H567">
        <v>45</v>
      </c>
      <c r="I567">
        <v>28</v>
      </c>
      <c r="J567">
        <v>1</v>
      </c>
      <c r="K567">
        <v>625</v>
      </c>
      <c r="L567">
        <v>1</v>
      </c>
    </row>
    <row r="568" spans="1:12">
      <c r="A568" t="s">
        <v>595</v>
      </c>
      <c r="B568" s="1">
        <v>45576</v>
      </c>
      <c r="C568" t="s">
        <v>37</v>
      </c>
      <c r="D568" s="9" t="s">
        <v>20</v>
      </c>
      <c r="E568" s="2">
        <v>45526</v>
      </c>
      <c r="F568" t="b">
        <v>1</v>
      </c>
      <c r="G568" t="s">
        <v>480</v>
      </c>
      <c r="H568">
        <v>45</v>
      </c>
      <c r="I568">
        <v>9</v>
      </c>
      <c r="J568">
        <v>4</v>
      </c>
      <c r="K568">
        <v>381</v>
      </c>
      <c r="L568">
        <v>1</v>
      </c>
    </row>
    <row r="569" spans="1:12">
      <c r="A569" t="s">
        <v>596</v>
      </c>
      <c r="B569" s="1">
        <v>45513.872916666667</v>
      </c>
      <c r="C569" t="s">
        <v>51</v>
      </c>
      <c r="D569" s="9" t="s">
        <v>26</v>
      </c>
      <c r="E569" s="2">
        <v>45523</v>
      </c>
      <c r="F569" t="b">
        <v>1</v>
      </c>
      <c r="G569" t="s">
        <v>480</v>
      </c>
      <c r="H569">
        <v>45</v>
      </c>
      <c r="I569">
        <v>12</v>
      </c>
      <c r="J569">
        <v>2</v>
      </c>
      <c r="K569">
        <v>337</v>
      </c>
      <c r="L569">
        <v>2</v>
      </c>
    </row>
    <row r="570" spans="1:12">
      <c r="A570" t="s">
        <v>597</v>
      </c>
      <c r="B570" s="1">
        <v>45609.7</v>
      </c>
      <c r="C570" t="s">
        <v>24</v>
      </c>
      <c r="D570" s="9" t="s">
        <v>14</v>
      </c>
      <c r="E570" s="2">
        <v>45523</v>
      </c>
      <c r="F570" t="b">
        <v>0</v>
      </c>
      <c r="G570" t="s">
        <v>480</v>
      </c>
      <c r="H570">
        <v>44</v>
      </c>
      <c r="I570">
        <v>16</v>
      </c>
      <c r="J570">
        <v>3</v>
      </c>
      <c r="K570">
        <v>498</v>
      </c>
      <c r="L570">
        <v>2</v>
      </c>
    </row>
    <row r="571" spans="1:12">
      <c r="A571" t="s">
        <v>598</v>
      </c>
      <c r="B571" s="1">
        <v>45442.651388888888</v>
      </c>
      <c r="C571" t="s">
        <v>37</v>
      </c>
      <c r="D571" s="9" t="s">
        <v>14</v>
      </c>
      <c r="E571" s="2">
        <v>45513</v>
      </c>
      <c r="F571" t="b">
        <v>0</v>
      </c>
      <c r="G571" t="s">
        <v>480</v>
      </c>
      <c r="H571">
        <v>44</v>
      </c>
      <c r="I571">
        <v>12</v>
      </c>
      <c r="J571">
        <v>0</v>
      </c>
      <c r="K571">
        <v>627</v>
      </c>
      <c r="L571">
        <v>2</v>
      </c>
    </row>
    <row r="572" spans="1:12">
      <c r="A572" t="s">
        <v>599</v>
      </c>
      <c r="B572" s="1">
        <v>45450</v>
      </c>
      <c r="C572" t="s">
        <v>13</v>
      </c>
      <c r="D572" s="9" t="s">
        <v>20</v>
      </c>
      <c r="E572" s="2">
        <v>45518</v>
      </c>
      <c r="F572" t="b">
        <v>1</v>
      </c>
      <c r="G572" t="s">
        <v>480</v>
      </c>
      <c r="H572">
        <v>44</v>
      </c>
      <c r="I572">
        <v>17</v>
      </c>
      <c r="J572">
        <v>2</v>
      </c>
      <c r="K572">
        <v>507</v>
      </c>
      <c r="L572">
        <v>1</v>
      </c>
    </row>
    <row r="573" spans="1:12">
      <c r="A573" t="s">
        <v>600</v>
      </c>
      <c r="B573" s="1">
        <v>45297.068749999999</v>
      </c>
      <c r="C573" t="s">
        <v>37</v>
      </c>
      <c r="D573" s="9" t="s">
        <v>20</v>
      </c>
      <c r="E573" s="2">
        <v>45509</v>
      </c>
      <c r="F573" t="b">
        <v>1</v>
      </c>
      <c r="G573" t="s">
        <v>480</v>
      </c>
      <c r="H573">
        <v>44</v>
      </c>
      <c r="I573">
        <v>26</v>
      </c>
      <c r="J573">
        <v>6</v>
      </c>
      <c r="K573">
        <v>437</v>
      </c>
      <c r="L573">
        <v>2</v>
      </c>
    </row>
    <row r="574" spans="1:12">
      <c r="A574" t="s">
        <v>601</v>
      </c>
      <c r="B574" s="1">
        <v>45301</v>
      </c>
      <c r="C574" t="s">
        <v>13</v>
      </c>
      <c r="D574" s="9" t="s">
        <v>14</v>
      </c>
      <c r="E574" s="2">
        <v>45530</v>
      </c>
      <c r="F574" t="b">
        <v>0</v>
      </c>
      <c r="G574" t="s">
        <v>480</v>
      </c>
      <c r="H574">
        <v>44</v>
      </c>
      <c r="I574">
        <v>25</v>
      </c>
      <c r="J574">
        <v>3</v>
      </c>
      <c r="K574">
        <v>656</v>
      </c>
      <c r="L574">
        <v>1</v>
      </c>
    </row>
    <row r="575" spans="1:12">
      <c r="A575" t="s">
        <v>602</v>
      </c>
      <c r="B575" s="1">
        <v>45450</v>
      </c>
      <c r="C575" t="s">
        <v>13</v>
      </c>
      <c r="D575" s="9" t="s">
        <v>14</v>
      </c>
      <c r="E575" s="2">
        <v>45509</v>
      </c>
      <c r="F575" t="b">
        <v>0</v>
      </c>
      <c r="G575" t="s">
        <v>480</v>
      </c>
      <c r="H575">
        <v>44</v>
      </c>
      <c r="I575">
        <v>28</v>
      </c>
      <c r="J575">
        <v>5</v>
      </c>
      <c r="K575">
        <v>507</v>
      </c>
      <c r="L575">
        <v>1</v>
      </c>
    </row>
    <row r="576" spans="1:12">
      <c r="A576" t="s">
        <v>603</v>
      </c>
      <c r="B576" s="1">
        <v>45316.078472222223</v>
      </c>
      <c r="C576" t="s">
        <v>19</v>
      </c>
      <c r="D576" s="9" t="s">
        <v>14</v>
      </c>
      <c r="E576" s="2">
        <v>45527</v>
      </c>
      <c r="F576" t="b">
        <v>1</v>
      </c>
      <c r="G576" t="s">
        <v>480</v>
      </c>
      <c r="H576">
        <v>43</v>
      </c>
      <c r="I576">
        <v>8</v>
      </c>
      <c r="J576">
        <v>1</v>
      </c>
      <c r="K576">
        <v>634</v>
      </c>
      <c r="L576">
        <v>2</v>
      </c>
    </row>
    <row r="577" spans="1:12">
      <c r="A577" t="s">
        <v>604</v>
      </c>
      <c r="B577" s="1">
        <v>45394</v>
      </c>
      <c r="C577" t="s">
        <v>30</v>
      </c>
      <c r="D577" s="9" t="s">
        <v>17</v>
      </c>
      <c r="E577" s="2">
        <v>45513</v>
      </c>
      <c r="F577" t="b">
        <v>1</v>
      </c>
      <c r="G577" t="s">
        <v>480</v>
      </c>
      <c r="H577">
        <v>43</v>
      </c>
      <c r="I577">
        <v>22</v>
      </c>
      <c r="J577">
        <v>10</v>
      </c>
      <c r="K577">
        <v>563</v>
      </c>
      <c r="L577">
        <v>0</v>
      </c>
    </row>
    <row r="578" spans="1:12">
      <c r="A578" t="s">
        <v>605</v>
      </c>
      <c r="B578" s="1">
        <v>45383</v>
      </c>
      <c r="C578" t="s">
        <v>22</v>
      </c>
      <c r="D578" s="9" t="s">
        <v>26</v>
      </c>
      <c r="E578" s="2">
        <v>45520</v>
      </c>
      <c r="F578" t="b">
        <v>1</v>
      </c>
      <c r="G578" t="s">
        <v>480</v>
      </c>
      <c r="H578">
        <v>43</v>
      </c>
      <c r="I578">
        <v>15</v>
      </c>
      <c r="J578">
        <v>7</v>
      </c>
      <c r="K578">
        <v>574</v>
      </c>
      <c r="L578">
        <v>1</v>
      </c>
    </row>
    <row r="579" spans="1:12">
      <c r="A579" t="s">
        <v>606</v>
      </c>
      <c r="B579" s="1">
        <v>45364.625</v>
      </c>
      <c r="C579" t="s">
        <v>51</v>
      </c>
      <c r="D579" s="9" t="s">
        <v>14</v>
      </c>
      <c r="E579" s="2">
        <v>45528</v>
      </c>
      <c r="F579" t="b">
        <v>0</v>
      </c>
      <c r="G579" t="s">
        <v>480</v>
      </c>
      <c r="H579">
        <v>43</v>
      </c>
      <c r="I579">
        <v>17</v>
      </c>
      <c r="J579">
        <v>1</v>
      </c>
      <c r="K579">
        <v>415</v>
      </c>
      <c r="L579">
        <v>2</v>
      </c>
    </row>
    <row r="580" spans="1:12">
      <c r="A580" t="s">
        <v>607</v>
      </c>
      <c r="B580" s="1">
        <v>45603.899305555555</v>
      </c>
      <c r="C580" t="s">
        <v>33</v>
      </c>
      <c r="D580" s="9" t="s">
        <v>20</v>
      </c>
      <c r="E580" s="2">
        <v>45509</v>
      </c>
      <c r="F580" t="b">
        <v>0</v>
      </c>
      <c r="G580" t="s">
        <v>480</v>
      </c>
      <c r="H580">
        <v>43</v>
      </c>
      <c r="I580">
        <v>23</v>
      </c>
      <c r="J580">
        <v>6</v>
      </c>
      <c r="K580">
        <v>549</v>
      </c>
      <c r="L580">
        <v>2</v>
      </c>
    </row>
    <row r="581" spans="1:12">
      <c r="A581" t="s">
        <v>608</v>
      </c>
      <c r="B581" s="1">
        <v>45558.900694444441</v>
      </c>
      <c r="C581" t="s">
        <v>33</v>
      </c>
      <c r="D581" s="9" t="s">
        <v>20</v>
      </c>
      <c r="E581" s="2">
        <v>45534</v>
      </c>
      <c r="F581" t="b">
        <v>1</v>
      </c>
      <c r="G581" t="s">
        <v>480</v>
      </c>
      <c r="H581">
        <v>43</v>
      </c>
      <c r="I581">
        <v>1</v>
      </c>
      <c r="J581">
        <v>4</v>
      </c>
      <c r="K581">
        <v>660</v>
      </c>
      <c r="L581">
        <v>2</v>
      </c>
    </row>
    <row r="582" spans="1:12">
      <c r="A582" t="s">
        <v>609</v>
      </c>
      <c r="B582" s="1">
        <v>45606</v>
      </c>
      <c r="C582" t="s">
        <v>33</v>
      </c>
      <c r="D582" s="9" t="s">
        <v>20</v>
      </c>
      <c r="E582" s="2">
        <v>45507</v>
      </c>
      <c r="F582" t="b">
        <v>1</v>
      </c>
      <c r="G582" t="s">
        <v>480</v>
      </c>
      <c r="H582">
        <v>42</v>
      </c>
      <c r="I582">
        <v>28</v>
      </c>
      <c r="J582">
        <v>3</v>
      </c>
      <c r="K582">
        <v>351</v>
      </c>
      <c r="L582">
        <v>1</v>
      </c>
    </row>
    <row r="583" spans="1:12">
      <c r="A583" t="s">
        <v>610</v>
      </c>
      <c r="B583" s="1">
        <v>45599.506249999999</v>
      </c>
      <c r="C583" t="s">
        <v>30</v>
      </c>
      <c r="D583" s="9" t="s">
        <v>14</v>
      </c>
      <c r="E583" s="2">
        <v>45520</v>
      </c>
      <c r="F583" t="b">
        <v>0</v>
      </c>
      <c r="G583" t="s">
        <v>480</v>
      </c>
      <c r="H583">
        <v>42</v>
      </c>
      <c r="I583">
        <v>3</v>
      </c>
      <c r="J583">
        <v>4</v>
      </c>
      <c r="K583">
        <v>558</v>
      </c>
      <c r="L583">
        <v>2</v>
      </c>
    </row>
    <row r="584" spans="1:12">
      <c r="A584" t="s">
        <v>611</v>
      </c>
      <c r="B584" s="1">
        <v>45356</v>
      </c>
      <c r="C584" t="s">
        <v>19</v>
      </c>
      <c r="D584" s="9" t="s">
        <v>26</v>
      </c>
      <c r="E584" s="2">
        <v>45518</v>
      </c>
      <c r="F584" t="b">
        <v>1</v>
      </c>
      <c r="G584" t="s">
        <v>480</v>
      </c>
      <c r="H584">
        <v>42</v>
      </c>
      <c r="I584">
        <v>17</v>
      </c>
      <c r="J584">
        <v>5</v>
      </c>
      <c r="K584">
        <v>601</v>
      </c>
      <c r="L584">
        <v>1</v>
      </c>
    </row>
    <row r="585" spans="1:12">
      <c r="A585" t="s">
        <v>612</v>
      </c>
      <c r="B585" s="1">
        <v>45531.412499999999</v>
      </c>
      <c r="C585" t="s">
        <v>51</v>
      </c>
      <c r="D585" s="9" t="s">
        <v>14</v>
      </c>
      <c r="E585" s="2">
        <v>45507</v>
      </c>
      <c r="F585" t="b">
        <v>0</v>
      </c>
      <c r="G585" t="s">
        <v>480</v>
      </c>
      <c r="H585">
        <v>42</v>
      </c>
      <c r="I585">
        <v>24</v>
      </c>
      <c r="J585">
        <v>1</v>
      </c>
      <c r="K585">
        <v>516</v>
      </c>
      <c r="L585">
        <v>2</v>
      </c>
    </row>
    <row r="586" spans="1:12">
      <c r="A586" t="s">
        <v>613</v>
      </c>
      <c r="B586" s="1">
        <v>45306.780555555553</v>
      </c>
      <c r="C586" t="s">
        <v>19</v>
      </c>
      <c r="D586" s="9" t="s">
        <v>14</v>
      </c>
      <c r="E586" s="2">
        <v>45518</v>
      </c>
      <c r="F586" t="b">
        <v>0</v>
      </c>
      <c r="G586" t="s">
        <v>480</v>
      </c>
      <c r="H586">
        <v>42</v>
      </c>
      <c r="I586">
        <v>7</v>
      </c>
      <c r="J586">
        <v>1</v>
      </c>
      <c r="K586">
        <v>504</v>
      </c>
      <c r="L586">
        <v>2</v>
      </c>
    </row>
    <row r="587" spans="1:12">
      <c r="A587" t="s">
        <v>614</v>
      </c>
      <c r="B587" s="1">
        <v>45477.136111111111</v>
      </c>
      <c r="C587" t="s">
        <v>13</v>
      </c>
      <c r="D587" s="9" t="s">
        <v>14</v>
      </c>
      <c r="E587" s="2">
        <v>45534</v>
      </c>
      <c r="F587" t="b">
        <v>0</v>
      </c>
      <c r="G587" t="s">
        <v>480</v>
      </c>
      <c r="H587">
        <v>42</v>
      </c>
      <c r="I587">
        <v>15</v>
      </c>
      <c r="J587">
        <v>3</v>
      </c>
      <c r="K587">
        <v>424</v>
      </c>
      <c r="L587">
        <v>2</v>
      </c>
    </row>
    <row r="588" spans="1:12">
      <c r="A588" t="s">
        <v>615</v>
      </c>
      <c r="B588" s="1">
        <v>45398.136111111111</v>
      </c>
      <c r="C588" t="s">
        <v>22</v>
      </c>
      <c r="D588" s="9" t="s">
        <v>14</v>
      </c>
      <c r="E588" s="2">
        <v>45505</v>
      </c>
      <c r="F588" t="b">
        <v>0</v>
      </c>
      <c r="G588" t="s">
        <v>480</v>
      </c>
      <c r="H588">
        <v>42</v>
      </c>
      <c r="I588">
        <v>20</v>
      </c>
      <c r="J588">
        <v>5</v>
      </c>
      <c r="K588">
        <v>473</v>
      </c>
      <c r="L588">
        <v>2</v>
      </c>
    </row>
    <row r="589" spans="1:12">
      <c r="A589" t="s">
        <v>616</v>
      </c>
      <c r="B589" s="1">
        <v>45510</v>
      </c>
      <c r="C589" t="s">
        <v>30</v>
      </c>
      <c r="D589" s="9" t="s">
        <v>17</v>
      </c>
      <c r="E589" s="2">
        <v>45511</v>
      </c>
      <c r="F589" t="b">
        <v>1</v>
      </c>
      <c r="G589" t="s">
        <v>480</v>
      </c>
      <c r="H589">
        <v>42</v>
      </c>
      <c r="I589">
        <v>24</v>
      </c>
      <c r="J589">
        <v>13</v>
      </c>
      <c r="K589">
        <v>447</v>
      </c>
      <c r="L589">
        <v>0</v>
      </c>
    </row>
    <row r="590" spans="1:12">
      <c r="A590" t="s">
        <v>617</v>
      </c>
      <c r="B590" s="1">
        <v>45523.980555555558</v>
      </c>
      <c r="C590" t="s">
        <v>19</v>
      </c>
      <c r="D590" s="9" t="s">
        <v>20</v>
      </c>
      <c r="E590" s="2">
        <v>45516</v>
      </c>
      <c r="F590" t="b">
        <v>1</v>
      </c>
      <c r="G590" t="s">
        <v>480</v>
      </c>
      <c r="H590">
        <v>41</v>
      </c>
      <c r="I590">
        <v>19</v>
      </c>
      <c r="J590">
        <v>9</v>
      </c>
      <c r="K590">
        <v>417</v>
      </c>
      <c r="L590">
        <v>0</v>
      </c>
    </row>
    <row r="591" spans="1:12">
      <c r="A591" t="s">
        <v>618</v>
      </c>
      <c r="B591" s="1">
        <v>45416.806944444441</v>
      </c>
      <c r="C591" t="s">
        <v>19</v>
      </c>
      <c r="D591" s="9" t="s">
        <v>26</v>
      </c>
      <c r="E591" s="2">
        <v>45515</v>
      </c>
      <c r="F591" t="b">
        <v>1</v>
      </c>
      <c r="G591" t="s">
        <v>480</v>
      </c>
      <c r="H591">
        <v>41</v>
      </c>
      <c r="I591">
        <v>20</v>
      </c>
      <c r="J591">
        <v>4</v>
      </c>
      <c r="K591">
        <v>588</v>
      </c>
      <c r="L591">
        <v>2</v>
      </c>
    </row>
    <row r="592" spans="1:12">
      <c r="A592" t="s">
        <v>619</v>
      </c>
      <c r="B592" s="1">
        <v>45507.680555555555</v>
      </c>
      <c r="C592" t="s">
        <v>37</v>
      </c>
      <c r="D592" s="9" t="s">
        <v>20</v>
      </c>
      <c r="E592" s="2">
        <v>45532</v>
      </c>
      <c r="F592" t="b">
        <v>1</v>
      </c>
      <c r="G592" t="s">
        <v>480</v>
      </c>
      <c r="H592">
        <v>41</v>
      </c>
      <c r="I592">
        <v>3</v>
      </c>
      <c r="J592">
        <v>16</v>
      </c>
      <c r="K592">
        <v>637</v>
      </c>
      <c r="L592">
        <v>0</v>
      </c>
    </row>
    <row r="593" spans="1:12">
      <c r="A593" t="s">
        <v>620</v>
      </c>
      <c r="B593" s="1">
        <v>45493.761805555558</v>
      </c>
      <c r="C593" t="s">
        <v>19</v>
      </c>
      <c r="D593" s="9" t="s">
        <v>14</v>
      </c>
      <c r="E593" s="2">
        <v>45511</v>
      </c>
      <c r="F593" t="b">
        <v>0</v>
      </c>
      <c r="G593" t="s">
        <v>480</v>
      </c>
      <c r="H593">
        <v>41</v>
      </c>
      <c r="I593">
        <v>9</v>
      </c>
      <c r="J593">
        <v>3</v>
      </c>
      <c r="K593">
        <v>343</v>
      </c>
      <c r="L593">
        <v>2</v>
      </c>
    </row>
    <row r="594" spans="1:12">
      <c r="A594" t="s">
        <v>621</v>
      </c>
      <c r="B594" s="1">
        <v>45505</v>
      </c>
      <c r="C594" t="s">
        <v>13</v>
      </c>
      <c r="D594" s="9" t="s">
        <v>14</v>
      </c>
      <c r="E594" s="2">
        <v>45513</v>
      </c>
      <c r="F594" t="b">
        <v>1</v>
      </c>
      <c r="G594" t="s">
        <v>480</v>
      </c>
      <c r="H594">
        <v>41</v>
      </c>
      <c r="I594">
        <v>22</v>
      </c>
      <c r="J594">
        <v>2</v>
      </c>
      <c r="K594">
        <v>452</v>
      </c>
      <c r="L594">
        <v>1</v>
      </c>
    </row>
    <row r="595" spans="1:12">
      <c r="A595" t="s">
        <v>622</v>
      </c>
      <c r="B595" s="1">
        <v>45600</v>
      </c>
      <c r="C595" t="s">
        <v>30</v>
      </c>
      <c r="D595" s="9" t="s">
        <v>14</v>
      </c>
      <c r="E595" s="2">
        <v>45523</v>
      </c>
      <c r="F595" t="b">
        <v>1</v>
      </c>
      <c r="G595" t="s">
        <v>480</v>
      </c>
      <c r="H595">
        <v>41</v>
      </c>
      <c r="I595">
        <v>12</v>
      </c>
      <c r="J595">
        <v>3</v>
      </c>
      <c r="K595">
        <v>357</v>
      </c>
      <c r="L595">
        <v>1</v>
      </c>
    </row>
    <row r="596" spans="1:12">
      <c r="A596" t="s">
        <v>623</v>
      </c>
      <c r="B596" s="1">
        <v>45485</v>
      </c>
      <c r="C596" t="s">
        <v>33</v>
      </c>
      <c r="D596" s="9" t="s">
        <v>14</v>
      </c>
      <c r="E596" s="2">
        <v>45507</v>
      </c>
      <c r="F596" t="b">
        <v>0</v>
      </c>
      <c r="G596" t="s">
        <v>480</v>
      </c>
      <c r="H596">
        <v>41</v>
      </c>
      <c r="I596">
        <v>27</v>
      </c>
      <c r="J596">
        <v>3</v>
      </c>
      <c r="K596">
        <v>472</v>
      </c>
      <c r="L596">
        <v>1</v>
      </c>
    </row>
    <row r="597" spans="1:12">
      <c r="A597" t="s">
        <v>624</v>
      </c>
      <c r="B597" s="1">
        <v>45613.839583333334</v>
      </c>
      <c r="C597" t="s">
        <v>33</v>
      </c>
      <c r="D597" s="9" t="s">
        <v>26</v>
      </c>
      <c r="E597" s="2">
        <v>45530</v>
      </c>
      <c r="F597" t="b">
        <v>1</v>
      </c>
      <c r="G597" t="s">
        <v>480</v>
      </c>
      <c r="H597">
        <v>41</v>
      </c>
      <c r="I597">
        <v>5</v>
      </c>
      <c r="J597">
        <v>3</v>
      </c>
      <c r="K597">
        <v>445</v>
      </c>
      <c r="L597">
        <v>2</v>
      </c>
    </row>
    <row r="598" spans="1:12">
      <c r="A598" t="s">
        <v>625</v>
      </c>
      <c r="B598" s="1">
        <v>45361</v>
      </c>
      <c r="C598" t="s">
        <v>30</v>
      </c>
      <c r="D598" s="9" t="s">
        <v>17</v>
      </c>
      <c r="E598" s="2">
        <v>45514</v>
      </c>
      <c r="F598" t="b">
        <v>1</v>
      </c>
      <c r="G598" t="s">
        <v>480</v>
      </c>
      <c r="H598">
        <v>41</v>
      </c>
      <c r="I598">
        <v>21</v>
      </c>
      <c r="J598">
        <v>21</v>
      </c>
      <c r="K598">
        <v>596</v>
      </c>
      <c r="L598">
        <v>0</v>
      </c>
    </row>
    <row r="599" spans="1:12">
      <c r="A599" t="s">
        <v>626</v>
      </c>
      <c r="B599" s="1">
        <v>45577.477083333331</v>
      </c>
      <c r="C599" t="s">
        <v>24</v>
      </c>
      <c r="D599" s="9" t="s">
        <v>26</v>
      </c>
      <c r="E599" s="2">
        <v>45533</v>
      </c>
      <c r="F599" t="b">
        <v>1</v>
      </c>
      <c r="G599" t="s">
        <v>480</v>
      </c>
      <c r="H599">
        <v>40</v>
      </c>
      <c r="I599">
        <v>2</v>
      </c>
      <c r="J599">
        <v>7</v>
      </c>
      <c r="K599">
        <v>510</v>
      </c>
      <c r="L599">
        <v>2</v>
      </c>
    </row>
    <row r="600" spans="1:12">
      <c r="A600" t="s">
        <v>627</v>
      </c>
      <c r="B600" s="1">
        <v>45387</v>
      </c>
      <c r="C600" t="s">
        <v>51</v>
      </c>
      <c r="D600" s="9" t="s">
        <v>26</v>
      </c>
      <c r="E600" s="2">
        <v>45515</v>
      </c>
      <c r="F600" t="b">
        <v>1</v>
      </c>
      <c r="G600" t="s">
        <v>480</v>
      </c>
      <c r="H600">
        <v>40</v>
      </c>
      <c r="I600">
        <v>20</v>
      </c>
      <c r="J600">
        <v>3</v>
      </c>
      <c r="K600">
        <v>570</v>
      </c>
      <c r="L600">
        <v>1</v>
      </c>
    </row>
    <row r="601" spans="1:12">
      <c r="A601" t="s">
        <v>628</v>
      </c>
      <c r="B601" s="1">
        <v>45416</v>
      </c>
      <c r="C601" t="s">
        <v>19</v>
      </c>
      <c r="D601" s="9" t="s">
        <v>26</v>
      </c>
      <c r="E601" s="2">
        <v>45506</v>
      </c>
      <c r="F601" t="b">
        <v>1</v>
      </c>
      <c r="G601" t="s">
        <v>480</v>
      </c>
      <c r="H601">
        <v>40</v>
      </c>
      <c r="I601">
        <v>29</v>
      </c>
      <c r="J601">
        <v>1</v>
      </c>
      <c r="K601">
        <v>541</v>
      </c>
      <c r="L601">
        <v>1</v>
      </c>
    </row>
    <row r="602" spans="1:12">
      <c r="A602" t="s">
        <v>629</v>
      </c>
      <c r="B602" s="1">
        <v>45503.067361111112</v>
      </c>
      <c r="C602" t="s">
        <v>37</v>
      </c>
      <c r="D602" s="9" t="s">
        <v>20</v>
      </c>
      <c r="E602" s="2">
        <v>45516</v>
      </c>
      <c r="F602" t="b">
        <v>1</v>
      </c>
      <c r="G602" t="s">
        <v>480</v>
      </c>
      <c r="H602">
        <v>40</v>
      </c>
      <c r="I602">
        <v>19</v>
      </c>
      <c r="J602">
        <v>4</v>
      </c>
      <c r="K602">
        <v>413</v>
      </c>
      <c r="L602">
        <v>2</v>
      </c>
    </row>
    <row r="603" spans="1:12">
      <c r="A603" t="s">
        <v>630</v>
      </c>
      <c r="B603" s="1">
        <v>45598</v>
      </c>
      <c r="C603" t="s">
        <v>30</v>
      </c>
      <c r="D603" s="9" t="s">
        <v>14</v>
      </c>
      <c r="E603" s="2">
        <v>45532</v>
      </c>
      <c r="F603" t="b">
        <v>0</v>
      </c>
      <c r="G603" t="s">
        <v>480</v>
      </c>
      <c r="H603">
        <v>40</v>
      </c>
      <c r="I603">
        <v>3</v>
      </c>
      <c r="J603">
        <v>0</v>
      </c>
      <c r="K603">
        <v>359</v>
      </c>
      <c r="L603">
        <v>1</v>
      </c>
    </row>
    <row r="604" spans="1:12">
      <c r="A604" t="s">
        <v>631</v>
      </c>
      <c r="B604" s="1">
        <v>45569</v>
      </c>
      <c r="C604" t="s">
        <v>13</v>
      </c>
      <c r="D604" s="9" t="s">
        <v>20</v>
      </c>
      <c r="E604" s="2">
        <v>45519</v>
      </c>
      <c r="F604" t="b">
        <v>1</v>
      </c>
      <c r="G604" t="s">
        <v>480</v>
      </c>
      <c r="H604">
        <v>40</v>
      </c>
      <c r="I604">
        <v>16</v>
      </c>
      <c r="J604">
        <v>7</v>
      </c>
      <c r="K604">
        <v>388</v>
      </c>
      <c r="L604">
        <v>1</v>
      </c>
    </row>
    <row r="605" spans="1:12">
      <c r="A605" t="s">
        <v>632</v>
      </c>
      <c r="B605" s="1">
        <v>45394</v>
      </c>
      <c r="C605" t="s">
        <v>33</v>
      </c>
      <c r="D605" s="9" t="s">
        <v>14</v>
      </c>
      <c r="E605" s="2">
        <v>45513</v>
      </c>
      <c r="F605" t="b">
        <v>0</v>
      </c>
      <c r="G605" t="s">
        <v>480</v>
      </c>
      <c r="H605">
        <v>40</v>
      </c>
      <c r="I605">
        <v>8</v>
      </c>
      <c r="J605">
        <v>0</v>
      </c>
      <c r="K605">
        <v>563</v>
      </c>
      <c r="L605">
        <v>1</v>
      </c>
    </row>
    <row r="606" spans="1:12">
      <c r="A606" t="s">
        <v>633</v>
      </c>
      <c r="B606" s="1">
        <v>45452</v>
      </c>
      <c r="C606" t="s">
        <v>19</v>
      </c>
      <c r="D606" s="9" t="s">
        <v>14</v>
      </c>
      <c r="E606" s="2">
        <v>45533</v>
      </c>
      <c r="F606" t="b">
        <v>0</v>
      </c>
      <c r="G606" t="s">
        <v>480</v>
      </c>
      <c r="H606">
        <v>40</v>
      </c>
      <c r="I606">
        <v>20</v>
      </c>
      <c r="J606">
        <v>5</v>
      </c>
      <c r="K606">
        <v>505</v>
      </c>
      <c r="L606">
        <v>1</v>
      </c>
    </row>
    <row r="607" spans="1:12">
      <c r="A607" t="s">
        <v>634</v>
      </c>
      <c r="B607" s="1">
        <v>45332</v>
      </c>
      <c r="C607" t="s">
        <v>22</v>
      </c>
      <c r="D607" s="9" t="s">
        <v>20</v>
      </c>
      <c r="E607" s="2">
        <v>45509</v>
      </c>
      <c r="F607" t="b">
        <v>1</v>
      </c>
      <c r="G607" t="s">
        <v>480</v>
      </c>
      <c r="H607">
        <v>40</v>
      </c>
      <c r="I607">
        <v>26</v>
      </c>
      <c r="J607">
        <v>4</v>
      </c>
      <c r="K607">
        <v>625</v>
      </c>
      <c r="L607">
        <v>1</v>
      </c>
    </row>
    <row r="608" spans="1:12">
      <c r="A608" t="s">
        <v>635</v>
      </c>
      <c r="B608" s="1">
        <v>45337.314583333333</v>
      </c>
      <c r="C608" t="s">
        <v>22</v>
      </c>
      <c r="D608" s="9" t="s">
        <v>17</v>
      </c>
      <c r="E608" s="2">
        <v>45526</v>
      </c>
      <c r="F608" t="b">
        <v>0</v>
      </c>
      <c r="G608" t="s">
        <v>480</v>
      </c>
      <c r="H608">
        <v>40</v>
      </c>
      <c r="I608">
        <v>19</v>
      </c>
      <c r="J608">
        <v>16</v>
      </c>
      <c r="K608">
        <v>640</v>
      </c>
      <c r="L608">
        <v>0</v>
      </c>
    </row>
    <row r="609" spans="1:12">
      <c r="A609" t="s">
        <v>636</v>
      </c>
      <c r="B609" s="1">
        <v>45468.600694444445</v>
      </c>
      <c r="C609" t="s">
        <v>30</v>
      </c>
      <c r="D609" s="9" t="s">
        <v>17</v>
      </c>
      <c r="E609" s="2">
        <v>45518</v>
      </c>
      <c r="F609" t="b">
        <v>1</v>
      </c>
      <c r="G609" t="s">
        <v>480</v>
      </c>
      <c r="H609">
        <v>40</v>
      </c>
      <c r="I609">
        <v>17</v>
      </c>
      <c r="J609">
        <v>11</v>
      </c>
      <c r="K609">
        <v>628</v>
      </c>
      <c r="L609">
        <v>0</v>
      </c>
    </row>
    <row r="610" spans="1:12">
      <c r="A610" t="s">
        <v>637</v>
      </c>
      <c r="B610" s="1">
        <v>45397.935416666667</v>
      </c>
      <c r="C610" t="s">
        <v>30</v>
      </c>
      <c r="D610" s="9" t="s">
        <v>14</v>
      </c>
      <c r="E610" s="2">
        <v>45519</v>
      </c>
      <c r="F610" t="b">
        <v>1</v>
      </c>
      <c r="G610" t="s">
        <v>480</v>
      </c>
      <c r="H610">
        <v>40</v>
      </c>
      <c r="I610">
        <v>16</v>
      </c>
      <c r="J610">
        <v>2</v>
      </c>
      <c r="K610">
        <v>662</v>
      </c>
      <c r="L610">
        <v>2</v>
      </c>
    </row>
    <row r="611" spans="1:12">
      <c r="A611" t="s">
        <v>638</v>
      </c>
      <c r="B611" s="1">
        <v>45505</v>
      </c>
      <c r="C611" t="s">
        <v>37</v>
      </c>
      <c r="D611" s="9" t="s">
        <v>14</v>
      </c>
      <c r="E611" s="2">
        <v>45517</v>
      </c>
      <c r="F611" t="b">
        <v>1</v>
      </c>
      <c r="G611" t="s">
        <v>480</v>
      </c>
      <c r="H611">
        <v>40</v>
      </c>
      <c r="I611">
        <v>18</v>
      </c>
      <c r="J611">
        <v>2</v>
      </c>
      <c r="K611">
        <v>452</v>
      </c>
      <c r="L611">
        <v>1</v>
      </c>
    </row>
    <row r="612" spans="1:12">
      <c r="A612" t="s">
        <v>639</v>
      </c>
      <c r="B612" s="1">
        <v>45555.426388888889</v>
      </c>
      <c r="C612" t="s">
        <v>30</v>
      </c>
      <c r="D612" s="9" t="s">
        <v>26</v>
      </c>
      <c r="E612" s="2">
        <v>45526</v>
      </c>
      <c r="F612" t="b">
        <v>1</v>
      </c>
      <c r="G612" t="s">
        <v>480</v>
      </c>
      <c r="H612">
        <v>40</v>
      </c>
      <c r="I612">
        <v>9</v>
      </c>
      <c r="J612">
        <v>2</v>
      </c>
      <c r="K612">
        <v>524</v>
      </c>
      <c r="L612">
        <v>2</v>
      </c>
    </row>
    <row r="613" spans="1:12">
      <c r="A613" t="s">
        <v>640</v>
      </c>
      <c r="B613" s="1">
        <v>45333</v>
      </c>
      <c r="C613" t="s">
        <v>24</v>
      </c>
      <c r="D613" s="9" t="s">
        <v>17</v>
      </c>
      <c r="E613" s="2">
        <v>45506</v>
      </c>
      <c r="F613" t="b">
        <v>0</v>
      </c>
      <c r="G613" t="s">
        <v>480</v>
      </c>
      <c r="H613">
        <v>39</v>
      </c>
      <c r="I613">
        <v>28</v>
      </c>
      <c r="J613">
        <v>5</v>
      </c>
      <c r="K613">
        <v>624</v>
      </c>
      <c r="L613">
        <v>1</v>
      </c>
    </row>
    <row r="614" spans="1:12">
      <c r="A614" t="s">
        <v>641</v>
      </c>
      <c r="B614" s="1">
        <v>45597</v>
      </c>
      <c r="C614" t="s">
        <v>51</v>
      </c>
      <c r="D614" s="9" t="s">
        <v>26</v>
      </c>
      <c r="E614" s="2">
        <v>45518</v>
      </c>
      <c r="F614" t="b">
        <v>1</v>
      </c>
      <c r="G614" t="s">
        <v>480</v>
      </c>
      <c r="H614">
        <v>39</v>
      </c>
      <c r="I614">
        <v>17</v>
      </c>
      <c r="J614">
        <v>6</v>
      </c>
      <c r="K614">
        <v>360</v>
      </c>
      <c r="L614">
        <v>1</v>
      </c>
    </row>
    <row r="615" spans="1:12">
      <c r="A615" t="s">
        <v>642</v>
      </c>
      <c r="B615" s="1">
        <v>45321.993750000001</v>
      </c>
      <c r="C615" t="s">
        <v>37</v>
      </c>
      <c r="D615" s="9" t="s">
        <v>26</v>
      </c>
      <c r="E615" s="2">
        <v>45528</v>
      </c>
      <c r="F615" t="b">
        <v>1</v>
      </c>
      <c r="G615" t="s">
        <v>480</v>
      </c>
      <c r="H615">
        <v>39</v>
      </c>
      <c r="I615">
        <v>7</v>
      </c>
      <c r="J615">
        <v>1</v>
      </c>
      <c r="K615">
        <v>357</v>
      </c>
      <c r="L615">
        <v>2</v>
      </c>
    </row>
    <row r="616" spans="1:12">
      <c r="A616" t="s">
        <v>643</v>
      </c>
      <c r="B616" s="1">
        <v>45510</v>
      </c>
      <c r="C616" t="s">
        <v>19</v>
      </c>
      <c r="D616" s="9" t="s">
        <v>14</v>
      </c>
      <c r="E616" s="2">
        <v>45521</v>
      </c>
      <c r="F616" t="b">
        <v>1</v>
      </c>
      <c r="G616" t="s">
        <v>480</v>
      </c>
      <c r="H616">
        <v>39</v>
      </c>
      <c r="I616">
        <v>14</v>
      </c>
      <c r="J616">
        <v>2</v>
      </c>
      <c r="K616">
        <v>447</v>
      </c>
      <c r="L616">
        <v>1</v>
      </c>
    </row>
    <row r="617" spans="1:12">
      <c r="A617" t="s">
        <v>644</v>
      </c>
      <c r="B617" s="1">
        <v>45404.611111111109</v>
      </c>
      <c r="C617" t="s">
        <v>37</v>
      </c>
      <c r="D617" s="9" t="s">
        <v>20</v>
      </c>
      <c r="E617" s="2">
        <v>45523</v>
      </c>
      <c r="F617" t="b">
        <v>1</v>
      </c>
      <c r="G617" t="s">
        <v>480</v>
      </c>
      <c r="H617">
        <v>39</v>
      </c>
      <c r="I617">
        <v>12</v>
      </c>
      <c r="J617">
        <v>3</v>
      </c>
      <c r="K617">
        <v>660</v>
      </c>
      <c r="L617">
        <v>2</v>
      </c>
    </row>
    <row r="618" spans="1:12">
      <c r="A618" t="s">
        <v>645</v>
      </c>
      <c r="B618" s="1">
        <v>45393</v>
      </c>
      <c r="C618" t="s">
        <v>24</v>
      </c>
      <c r="D618" s="9" t="s">
        <v>14</v>
      </c>
      <c r="E618" s="2">
        <v>45509</v>
      </c>
      <c r="F618" t="b">
        <v>0</v>
      </c>
      <c r="G618" t="s">
        <v>480</v>
      </c>
      <c r="H618">
        <v>39</v>
      </c>
      <c r="I618">
        <v>18</v>
      </c>
      <c r="J618">
        <v>2</v>
      </c>
      <c r="K618">
        <v>564</v>
      </c>
      <c r="L618">
        <v>1</v>
      </c>
    </row>
    <row r="619" spans="1:12">
      <c r="A619" t="s">
        <v>646</v>
      </c>
      <c r="B619" s="1">
        <v>45416.144444444442</v>
      </c>
      <c r="C619" t="s">
        <v>13</v>
      </c>
      <c r="D619" s="9" t="s">
        <v>26</v>
      </c>
      <c r="E619" s="2">
        <v>45522</v>
      </c>
      <c r="F619" t="b">
        <v>1</v>
      </c>
      <c r="G619" t="s">
        <v>480</v>
      </c>
      <c r="H619">
        <v>38</v>
      </c>
      <c r="I619">
        <v>13</v>
      </c>
      <c r="J619">
        <v>3</v>
      </c>
      <c r="K619">
        <v>654</v>
      </c>
      <c r="L619">
        <v>2</v>
      </c>
    </row>
    <row r="620" spans="1:12">
      <c r="A620" t="s">
        <v>647</v>
      </c>
      <c r="B620" s="1">
        <v>45430.213888888888</v>
      </c>
      <c r="C620" t="s">
        <v>37</v>
      </c>
      <c r="D620" s="9" t="s">
        <v>26</v>
      </c>
      <c r="E620" s="2">
        <v>45523</v>
      </c>
      <c r="F620" t="b">
        <v>1</v>
      </c>
      <c r="G620" t="s">
        <v>480</v>
      </c>
      <c r="H620">
        <v>38</v>
      </c>
      <c r="I620">
        <v>12</v>
      </c>
      <c r="J620">
        <v>2</v>
      </c>
      <c r="K620">
        <v>353</v>
      </c>
      <c r="L620">
        <v>2</v>
      </c>
    </row>
    <row r="621" spans="1:12">
      <c r="A621" t="s">
        <v>648</v>
      </c>
      <c r="B621" s="1">
        <v>45312.036805555559</v>
      </c>
      <c r="C621" t="s">
        <v>19</v>
      </c>
      <c r="D621" s="9" t="s">
        <v>14</v>
      </c>
      <c r="E621" s="2">
        <v>45531</v>
      </c>
      <c r="F621" t="b">
        <v>1</v>
      </c>
      <c r="G621" t="s">
        <v>480</v>
      </c>
      <c r="H621">
        <v>38</v>
      </c>
      <c r="I621">
        <v>4</v>
      </c>
      <c r="J621">
        <v>0</v>
      </c>
      <c r="K621">
        <v>377</v>
      </c>
      <c r="L621">
        <v>2</v>
      </c>
    </row>
    <row r="622" spans="1:12">
      <c r="A622" t="s">
        <v>649</v>
      </c>
      <c r="B622" s="1">
        <v>45495.080555555556</v>
      </c>
      <c r="C622" t="s">
        <v>30</v>
      </c>
      <c r="D622" s="9" t="s">
        <v>26</v>
      </c>
      <c r="E622" s="2">
        <v>45508</v>
      </c>
      <c r="F622" t="b">
        <v>1</v>
      </c>
      <c r="G622" t="s">
        <v>480</v>
      </c>
      <c r="H622">
        <v>38</v>
      </c>
      <c r="I622">
        <v>27</v>
      </c>
      <c r="J622">
        <v>2</v>
      </c>
      <c r="K622">
        <v>394</v>
      </c>
      <c r="L622">
        <v>2</v>
      </c>
    </row>
    <row r="623" spans="1:12">
      <c r="A623" t="s">
        <v>650</v>
      </c>
      <c r="B623" s="1">
        <v>45583.932638888888</v>
      </c>
      <c r="C623" t="s">
        <v>51</v>
      </c>
      <c r="D623" s="9" t="s">
        <v>14</v>
      </c>
      <c r="E623" s="2">
        <v>45522</v>
      </c>
      <c r="F623" t="b">
        <v>0</v>
      </c>
      <c r="G623" t="s">
        <v>480</v>
      </c>
      <c r="H623">
        <v>38</v>
      </c>
      <c r="I623">
        <v>13</v>
      </c>
      <c r="J623">
        <v>3</v>
      </c>
      <c r="K623">
        <v>664</v>
      </c>
      <c r="L623">
        <v>2</v>
      </c>
    </row>
    <row r="624" spans="1:12">
      <c r="A624" t="s">
        <v>651</v>
      </c>
      <c r="B624" s="1">
        <v>45628</v>
      </c>
      <c r="C624" t="s">
        <v>33</v>
      </c>
      <c r="D624" s="9" t="s">
        <v>14</v>
      </c>
      <c r="E624" s="2">
        <v>45516</v>
      </c>
      <c r="F624" t="b">
        <v>0</v>
      </c>
      <c r="G624" t="s">
        <v>480</v>
      </c>
      <c r="H624">
        <v>38</v>
      </c>
      <c r="I624">
        <v>7</v>
      </c>
      <c r="J624">
        <v>2</v>
      </c>
      <c r="K624">
        <v>329</v>
      </c>
      <c r="L624">
        <v>1</v>
      </c>
    </row>
    <row r="625" spans="1:12">
      <c r="A625" t="s">
        <v>652</v>
      </c>
      <c r="B625" s="1">
        <v>45524.019444444442</v>
      </c>
      <c r="C625" t="s">
        <v>24</v>
      </c>
      <c r="D625" s="9" t="s">
        <v>26</v>
      </c>
      <c r="E625" s="2">
        <v>45528</v>
      </c>
      <c r="F625" t="b">
        <v>0</v>
      </c>
      <c r="G625" t="s">
        <v>480</v>
      </c>
      <c r="H625">
        <v>38</v>
      </c>
      <c r="I625">
        <v>20</v>
      </c>
      <c r="J625">
        <v>5</v>
      </c>
      <c r="K625">
        <v>655</v>
      </c>
      <c r="L625">
        <v>2</v>
      </c>
    </row>
    <row r="626" spans="1:12">
      <c r="A626" t="s">
        <v>653</v>
      </c>
      <c r="B626" s="1">
        <v>45611.449305555558</v>
      </c>
      <c r="C626" t="s">
        <v>33</v>
      </c>
      <c r="D626" s="9" t="s">
        <v>26</v>
      </c>
      <c r="E626" s="2">
        <v>45520</v>
      </c>
      <c r="F626" t="b">
        <v>1</v>
      </c>
      <c r="G626" t="s">
        <v>480</v>
      </c>
      <c r="H626">
        <v>38</v>
      </c>
      <c r="I626">
        <v>15</v>
      </c>
      <c r="J626">
        <v>4</v>
      </c>
      <c r="K626">
        <v>359</v>
      </c>
      <c r="L626">
        <v>2</v>
      </c>
    </row>
    <row r="627" spans="1:12">
      <c r="A627" t="s">
        <v>654</v>
      </c>
      <c r="B627" s="1">
        <v>45520.231249999997</v>
      </c>
      <c r="C627" t="s">
        <v>30</v>
      </c>
      <c r="D627" s="9" t="s">
        <v>26</v>
      </c>
      <c r="E627" s="2">
        <v>45519</v>
      </c>
      <c r="F627" t="b">
        <v>1</v>
      </c>
      <c r="G627" t="s">
        <v>480</v>
      </c>
      <c r="H627">
        <v>38</v>
      </c>
      <c r="I627">
        <v>16</v>
      </c>
      <c r="J627">
        <v>4</v>
      </c>
      <c r="K627">
        <v>430</v>
      </c>
      <c r="L627">
        <v>2</v>
      </c>
    </row>
    <row r="628" spans="1:12">
      <c r="A628" t="s">
        <v>655</v>
      </c>
      <c r="B628" s="1">
        <v>45540</v>
      </c>
      <c r="C628" t="s">
        <v>30</v>
      </c>
      <c r="D628" s="9" t="s">
        <v>20</v>
      </c>
      <c r="E628" s="2">
        <v>45514</v>
      </c>
      <c r="F628" t="b">
        <v>0</v>
      </c>
      <c r="G628" t="s">
        <v>480</v>
      </c>
      <c r="H628">
        <v>38</v>
      </c>
      <c r="I628">
        <v>27</v>
      </c>
      <c r="J628">
        <v>5</v>
      </c>
      <c r="K628">
        <v>417</v>
      </c>
      <c r="L628">
        <v>1</v>
      </c>
    </row>
    <row r="629" spans="1:12">
      <c r="A629" t="s">
        <v>656</v>
      </c>
      <c r="B629" s="1">
        <v>45337.267361111109</v>
      </c>
      <c r="C629" t="s">
        <v>19</v>
      </c>
      <c r="D629" s="9" t="s">
        <v>14</v>
      </c>
      <c r="E629" s="2">
        <v>45532</v>
      </c>
      <c r="F629" t="b">
        <v>1</v>
      </c>
      <c r="G629" t="s">
        <v>480</v>
      </c>
      <c r="H629">
        <v>37</v>
      </c>
      <c r="I629">
        <v>3</v>
      </c>
      <c r="J629">
        <v>2</v>
      </c>
      <c r="K629">
        <v>357</v>
      </c>
      <c r="L629">
        <v>2</v>
      </c>
    </row>
    <row r="630" spans="1:12">
      <c r="A630" t="s">
        <v>657</v>
      </c>
      <c r="B630" s="1">
        <v>45347.952777777777</v>
      </c>
      <c r="C630" t="s">
        <v>24</v>
      </c>
      <c r="D630" s="9" t="s">
        <v>14</v>
      </c>
      <c r="E630" s="2">
        <v>45525</v>
      </c>
      <c r="F630" t="b">
        <v>1</v>
      </c>
      <c r="G630" t="s">
        <v>480</v>
      </c>
      <c r="H630">
        <v>37</v>
      </c>
      <c r="I630">
        <v>10</v>
      </c>
      <c r="J630">
        <v>5</v>
      </c>
      <c r="K630">
        <v>418</v>
      </c>
      <c r="L630">
        <v>2</v>
      </c>
    </row>
    <row r="631" spans="1:12">
      <c r="A631" t="s">
        <v>658</v>
      </c>
      <c r="B631" s="1">
        <v>45595.023611111108</v>
      </c>
      <c r="C631" t="s">
        <v>33</v>
      </c>
      <c r="D631" s="9" t="s">
        <v>20</v>
      </c>
      <c r="E631" s="2">
        <v>45510</v>
      </c>
      <c r="F631" t="b">
        <v>1</v>
      </c>
      <c r="G631" t="s">
        <v>480</v>
      </c>
      <c r="H631">
        <v>37</v>
      </c>
      <c r="I631">
        <v>25</v>
      </c>
      <c r="J631">
        <v>5</v>
      </c>
      <c r="K631">
        <v>604</v>
      </c>
      <c r="L631">
        <v>2</v>
      </c>
    </row>
    <row r="632" spans="1:12">
      <c r="A632" t="s">
        <v>659</v>
      </c>
      <c r="B632" s="1">
        <v>45415</v>
      </c>
      <c r="C632" t="s">
        <v>37</v>
      </c>
      <c r="D632" s="9" t="s">
        <v>14</v>
      </c>
      <c r="E632" s="2">
        <v>45519</v>
      </c>
      <c r="F632" t="b">
        <v>0</v>
      </c>
      <c r="G632" t="s">
        <v>480</v>
      </c>
      <c r="H632">
        <v>37</v>
      </c>
      <c r="I632">
        <v>6</v>
      </c>
      <c r="J632">
        <v>4</v>
      </c>
      <c r="K632">
        <v>542</v>
      </c>
      <c r="L632">
        <v>1</v>
      </c>
    </row>
    <row r="633" spans="1:12">
      <c r="A633" t="s">
        <v>660</v>
      </c>
      <c r="B633" s="1">
        <v>45632</v>
      </c>
      <c r="C633" t="s">
        <v>33</v>
      </c>
      <c r="D633" s="9" t="s">
        <v>26</v>
      </c>
      <c r="E633" s="2">
        <v>45506</v>
      </c>
      <c r="F633" t="b">
        <v>0</v>
      </c>
      <c r="G633" t="s">
        <v>480</v>
      </c>
      <c r="H633">
        <v>37</v>
      </c>
      <c r="I633">
        <v>16</v>
      </c>
      <c r="J633">
        <v>1</v>
      </c>
      <c r="K633">
        <v>325</v>
      </c>
      <c r="L633">
        <v>1</v>
      </c>
    </row>
    <row r="634" spans="1:12">
      <c r="A634" t="s">
        <v>661</v>
      </c>
      <c r="B634" s="1">
        <v>45388</v>
      </c>
      <c r="C634" t="s">
        <v>37</v>
      </c>
      <c r="D634" s="9" t="s">
        <v>26</v>
      </c>
      <c r="E634" s="2">
        <v>45512</v>
      </c>
      <c r="F634" t="b">
        <v>0</v>
      </c>
      <c r="G634" t="s">
        <v>480</v>
      </c>
      <c r="H634">
        <v>37</v>
      </c>
      <c r="I634">
        <v>25</v>
      </c>
      <c r="J634">
        <v>3</v>
      </c>
      <c r="K634">
        <v>569</v>
      </c>
      <c r="L634">
        <v>1</v>
      </c>
    </row>
    <row r="635" spans="1:12">
      <c r="A635" t="s">
        <v>662</v>
      </c>
      <c r="B635" s="1">
        <v>45603</v>
      </c>
      <c r="C635" t="s">
        <v>33</v>
      </c>
      <c r="D635" s="9" t="s">
        <v>20</v>
      </c>
      <c r="E635" s="2">
        <v>45511</v>
      </c>
      <c r="F635" t="b">
        <v>1</v>
      </c>
      <c r="G635" t="s">
        <v>480</v>
      </c>
      <c r="H635">
        <v>37</v>
      </c>
      <c r="I635">
        <v>24</v>
      </c>
      <c r="J635">
        <v>4</v>
      </c>
      <c r="K635">
        <v>354</v>
      </c>
      <c r="L635">
        <v>1</v>
      </c>
    </row>
    <row r="636" spans="1:12">
      <c r="A636" t="s">
        <v>663</v>
      </c>
      <c r="B636" s="1">
        <v>45585.674305555556</v>
      </c>
      <c r="C636" t="s">
        <v>37</v>
      </c>
      <c r="D636" s="9" t="s">
        <v>26</v>
      </c>
      <c r="E636" s="2">
        <v>45527</v>
      </c>
      <c r="F636" t="b">
        <v>1</v>
      </c>
      <c r="G636" t="s">
        <v>480</v>
      </c>
      <c r="H636">
        <v>37</v>
      </c>
      <c r="I636">
        <v>8</v>
      </c>
      <c r="J636">
        <v>4</v>
      </c>
      <c r="K636">
        <v>396</v>
      </c>
      <c r="L636">
        <v>2</v>
      </c>
    </row>
    <row r="637" spans="1:12">
      <c r="A637" t="s">
        <v>664</v>
      </c>
      <c r="B637" s="1">
        <v>45393</v>
      </c>
      <c r="C637" t="s">
        <v>37</v>
      </c>
      <c r="D637" s="9" t="s">
        <v>14</v>
      </c>
      <c r="E637" s="2">
        <v>45513</v>
      </c>
      <c r="F637" t="b">
        <v>0</v>
      </c>
      <c r="G637" t="s">
        <v>480</v>
      </c>
      <c r="H637">
        <v>37</v>
      </c>
      <c r="I637">
        <v>20</v>
      </c>
      <c r="J637">
        <v>1</v>
      </c>
      <c r="K637">
        <v>564</v>
      </c>
      <c r="L637">
        <v>1</v>
      </c>
    </row>
    <row r="638" spans="1:12">
      <c r="A638" t="s">
        <v>665</v>
      </c>
      <c r="B638" s="1">
        <v>45579.709722222222</v>
      </c>
      <c r="C638" t="s">
        <v>13</v>
      </c>
      <c r="D638" s="9" t="s">
        <v>20</v>
      </c>
      <c r="E638" s="2">
        <v>45527</v>
      </c>
      <c r="F638" t="b">
        <v>1</v>
      </c>
      <c r="G638" t="s">
        <v>480</v>
      </c>
      <c r="H638">
        <v>36</v>
      </c>
      <c r="I638">
        <v>8</v>
      </c>
      <c r="J638">
        <v>8</v>
      </c>
      <c r="K638">
        <v>505</v>
      </c>
      <c r="L638">
        <v>2</v>
      </c>
    </row>
    <row r="639" spans="1:12">
      <c r="A639" t="s">
        <v>666</v>
      </c>
      <c r="B639" s="1">
        <v>45477</v>
      </c>
      <c r="C639" t="s">
        <v>13</v>
      </c>
      <c r="D639" s="9" t="s">
        <v>26</v>
      </c>
      <c r="E639" s="2">
        <v>45521</v>
      </c>
      <c r="F639" t="b">
        <v>1</v>
      </c>
      <c r="G639" t="s">
        <v>480</v>
      </c>
      <c r="H639">
        <v>36</v>
      </c>
      <c r="I639">
        <v>14</v>
      </c>
      <c r="J639">
        <v>1</v>
      </c>
      <c r="K639">
        <v>480</v>
      </c>
      <c r="L639">
        <v>1</v>
      </c>
    </row>
    <row r="640" spans="1:12">
      <c r="A640" t="s">
        <v>667</v>
      </c>
      <c r="B640" s="1">
        <v>45430.431250000001</v>
      </c>
      <c r="C640" t="s">
        <v>30</v>
      </c>
      <c r="D640" s="9" t="s">
        <v>14</v>
      </c>
      <c r="E640" s="2">
        <v>45511</v>
      </c>
      <c r="F640" t="b">
        <v>0</v>
      </c>
      <c r="G640" t="s">
        <v>480</v>
      </c>
      <c r="H640">
        <v>36</v>
      </c>
      <c r="I640">
        <v>9</v>
      </c>
      <c r="J640">
        <v>1</v>
      </c>
      <c r="K640">
        <v>522</v>
      </c>
      <c r="L640">
        <v>2</v>
      </c>
    </row>
    <row r="641" spans="1:12">
      <c r="A641" t="s">
        <v>668</v>
      </c>
      <c r="B641" s="1">
        <v>45513.082638888889</v>
      </c>
      <c r="C641" t="s">
        <v>19</v>
      </c>
      <c r="D641" s="9" t="s">
        <v>14</v>
      </c>
      <c r="E641" s="2">
        <v>45511</v>
      </c>
      <c r="F641" t="b">
        <v>0</v>
      </c>
      <c r="G641" t="s">
        <v>480</v>
      </c>
      <c r="H641">
        <v>36</v>
      </c>
      <c r="I641">
        <v>1</v>
      </c>
      <c r="J641">
        <v>3</v>
      </c>
      <c r="K641">
        <v>430</v>
      </c>
      <c r="L641">
        <v>2</v>
      </c>
    </row>
    <row r="642" spans="1:12">
      <c r="A642" t="s">
        <v>669</v>
      </c>
      <c r="B642" s="1">
        <v>45347.461111111108</v>
      </c>
      <c r="C642" t="s">
        <v>51</v>
      </c>
      <c r="D642" s="9" t="s">
        <v>14</v>
      </c>
      <c r="E642" s="2">
        <v>45525</v>
      </c>
      <c r="F642" t="b">
        <v>1</v>
      </c>
      <c r="G642" t="s">
        <v>480</v>
      </c>
      <c r="H642">
        <v>36</v>
      </c>
      <c r="I642">
        <v>10</v>
      </c>
      <c r="J642">
        <v>2</v>
      </c>
      <c r="K642">
        <v>567</v>
      </c>
      <c r="L642">
        <v>2</v>
      </c>
    </row>
    <row r="643" spans="1:12">
      <c r="A643" t="s">
        <v>670</v>
      </c>
      <c r="B643" s="1">
        <v>45568</v>
      </c>
      <c r="C643" t="s">
        <v>33</v>
      </c>
      <c r="D643" s="9" t="s">
        <v>26</v>
      </c>
      <c r="E643" s="2">
        <v>45510</v>
      </c>
      <c r="F643" t="b">
        <v>0</v>
      </c>
      <c r="G643" t="s">
        <v>480</v>
      </c>
      <c r="H643">
        <v>36</v>
      </c>
      <c r="I643">
        <v>21</v>
      </c>
      <c r="J643">
        <v>3</v>
      </c>
      <c r="K643">
        <v>389</v>
      </c>
      <c r="L643">
        <v>1</v>
      </c>
    </row>
    <row r="644" spans="1:12">
      <c r="A644" t="s">
        <v>671</v>
      </c>
      <c r="B644" s="1">
        <v>45476</v>
      </c>
      <c r="C644" t="s">
        <v>30</v>
      </c>
      <c r="D644" s="9" t="s">
        <v>20</v>
      </c>
      <c r="E644" s="2">
        <v>45517</v>
      </c>
      <c r="F644" t="b">
        <v>1</v>
      </c>
      <c r="G644" t="s">
        <v>480</v>
      </c>
      <c r="H644">
        <v>36</v>
      </c>
      <c r="I644">
        <v>18</v>
      </c>
      <c r="J644">
        <v>5</v>
      </c>
      <c r="K644">
        <v>481</v>
      </c>
      <c r="L644">
        <v>1</v>
      </c>
    </row>
    <row r="645" spans="1:12">
      <c r="A645" t="s">
        <v>672</v>
      </c>
      <c r="B645" s="1">
        <v>45510</v>
      </c>
      <c r="C645" t="s">
        <v>13</v>
      </c>
      <c r="D645" s="9" t="s">
        <v>14</v>
      </c>
      <c r="E645" s="2">
        <v>45518</v>
      </c>
      <c r="F645" t="b">
        <v>0</v>
      </c>
      <c r="G645" t="s">
        <v>480</v>
      </c>
      <c r="H645">
        <v>36</v>
      </c>
      <c r="I645">
        <v>12</v>
      </c>
      <c r="J645">
        <v>4</v>
      </c>
      <c r="K645">
        <v>447</v>
      </c>
      <c r="L645">
        <v>1</v>
      </c>
    </row>
    <row r="646" spans="1:12">
      <c r="A646" t="s">
        <v>673</v>
      </c>
      <c r="B646" s="1">
        <v>45498.477083333331</v>
      </c>
      <c r="C646" t="s">
        <v>13</v>
      </c>
      <c r="D646" s="9" t="s">
        <v>17</v>
      </c>
      <c r="E646" s="2">
        <v>45520</v>
      </c>
      <c r="F646" t="b">
        <v>1</v>
      </c>
      <c r="G646" t="s">
        <v>480</v>
      </c>
      <c r="H646">
        <v>36</v>
      </c>
      <c r="I646">
        <v>15</v>
      </c>
      <c r="J646">
        <v>12</v>
      </c>
      <c r="K646">
        <v>403</v>
      </c>
      <c r="L646">
        <v>0</v>
      </c>
    </row>
    <row r="647" spans="1:12">
      <c r="A647" t="s">
        <v>674</v>
      </c>
      <c r="B647" s="1">
        <v>45306.561111111114</v>
      </c>
      <c r="C647" t="s">
        <v>30</v>
      </c>
      <c r="D647" s="9" t="s">
        <v>20</v>
      </c>
      <c r="E647" s="2">
        <v>45522</v>
      </c>
      <c r="F647" t="b">
        <v>1</v>
      </c>
      <c r="G647" t="s">
        <v>480</v>
      </c>
      <c r="H647">
        <v>36</v>
      </c>
      <c r="I647">
        <v>13</v>
      </c>
      <c r="J647">
        <v>7</v>
      </c>
      <c r="K647">
        <v>602</v>
      </c>
      <c r="L647">
        <v>2</v>
      </c>
    </row>
    <row r="648" spans="1:12">
      <c r="A648" t="s">
        <v>675</v>
      </c>
      <c r="B648" s="1">
        <v>45506</v>
      </c>
      <c r="C648" t="s">
        <v>30</v>
      </c>
      <c r="D648" s="9" t="s">
        <v>26</v>
      </c>
      <c r="E648" s="2">
        <v>45534</v>
      </c>
      <c r="F648" t="b">
        <v>0</v>
      </c>
      <c r="G648" t="s">
        <v>480</v>
      </c>
      <c r="H648">
        <v>36</v>
      </c>
      <c r="I648">
        <v>27</v>
      </c>
      <c r="J648">
        <v>4</v>
      </c>
      <c r="K648">
        <v>451</v>
      </c>
      <c r="L648">
        <v>1</v>
      </c>
    </row>
    <row r="649" spans="1:12">
      <c r="A649" t="s">
        <v>676</v>
      </c>
      <c r="B649" s="1">
        <v>45297.666666666664</v>
      </c>
      <c r="C649" t="s">
        <v>13</v>
      </c>
      <c r="D649" s="9" t="s">
        <v>26</v>
      </c>
      <c r="E649" s="2">
        <v>45512</v>
      </c>
      <c r="F649" t="b">
        <v>1</v>
      </c>
      <c r="G649" t="s">
        <v>480</v>
      </c>
      <c r="H649">
        <v>35</v>
      </c>
      <c r="I649">
        <v>23</v>
      </c>
      <c r="J649">
        <v>2</v>
      </c>
      <c r="K649">
        <v>540</v>
      </c>
      <c r="L649">
        <v>2</v>
      </c>
    </row>
    <row r="650" spans="1:12">
      <c r="A650" t="s">
        <v>677</v>
      </c>
      <c r="B650" s="1">
        <v>45543</v>
      </c>
      <c r="C650" t="s">
        <v>22</v>
      </c>
      <c r="D650" s="9" t="s">
        <v>20</v>
      </c>
      <c r="E650" s="2">
        <v>45513</v>
      </c>
      <c r="F650" t="b">
        <v>1</v>
      </c>
      <c r="G650" t="s">
        <v>480</v>
      </c>
      <c r="H650">
        <v>35</v>
      </c>
      <c r="I650">
        <v>22</v>
      </c>
      <c r="J650">
        <v>6</v>
      </c>
      <c r="K650">
        <v>414</v>
      </c>
      <c r="L650">
        <v>1</v>
      </c>
    </row>
    <row r="651" spans="1:12">
      <c r="A651" t="s">
        <v>678</v>
      </c>
      <c r="B651" s="1">
        <v>45606</v>
      </c>
      <c r="C651" t="s">
        <v>24</v>
      </c>
      <c r="D651" s="9" t="s">
        <v>26</v>
      </c>
      <c r="E651" s="2">
        <v>45506</v>
      </c>
      <c r="F651" t="b">
        <v>1</v>
      </c>
      <c r="G651" t="s">
        <v>480</v>
      </c>
      <c r="H651">
        <v>35</v>
      </c>
      <c r="I651">
        <v>29</v>
      </c>
      <c r="J651">
        <v>2</v>
      </c>
      <c r="K651">
        <v>351</v>
      </c>
      <c r="L651">
        <v>1</v>
      </c>
    </row>
    <row r="652" spans="1:12">
      <c r="A652" t="s">
        <v>679</v>
      </c>
      <c r="B652" s="1">
        <v>45588.856249999997</v>
      </c>
      <c r="C652" t="s">
        <v>13</v>
      </c>
      <c r="D652" s="9" t="s">
        <v>14</v>
      </c>
      <c r="E652" s="2">
        <v>45529</v>
      </c>
      <c r="F652" t="b">
        <v>0</v>
      </c>
      <c r="G652" t="s">
        <v>480</v>
      </c>
      <c r="H652">
        <v>35</v>
      </c>
      <c r="I652">
        <v>3</v>
      </c>
      <c r="J652">
        <v>1</v>
      </c>
      <c r="K652">
        <v>491</v>
      </c>
      <c r="L652">
        <v>2</v>
      </c>
    </row>
    <row r="653" spans="1:12">
      <c r="A653" t="s">
        <v>680</v>
      </c>
      <c r="B653" s="1">
        <v>45392.504166666666</v>
      </c>
      <c r="C653" t="s">
        <v>13</v>
      </c>
      <c r="D653" s="9" t="s">
        <v>26</v>
      </c>
      <c r="E653" s="2">
        <v>45512</v>
      </c>
      <c r="F653" t="b">
        <v>0</v>
      </c>
      <c r="G653" t="s">
        <v>480</v>
      </c>
      <c r="H653">
        <v>35</v>
      </c>
      <c r="I653">
        <v>23</v>
      </c>
      <c r="J653">
        <v>2</v>
      </c>
      <c r="K653">
        <v>624</v>
      </c>
      <c r="L653">
        <v>2</v>
      </c>
    </row>
    <row r="654" spans="1:12">
      <c r="A654" t="s">
        <v>681</v>
      </c>
      <c r="B654" s="1">
        <v>45582.833333333336</v>
      </c>
      <c r="C654" t="s">
        <v>33</v>
      </c>
      <c r="D654" s="9" t="s">
        <v>26</v>
      </c>
      <c r="E654" s="2">
        <v>45508</v>
      </c>
      <c r="F654" t="b">
        <v>1</v>
      </c>
      <c r="G654" t="s">
        <v>480</v>
      </c>
      <c r="H654">
        <v>35</v>
      </c>
      <c r="I654">
        <v>27</v>
      </c>
      <c r="J654">
        <v>1</v>
      </c>
      <c r="K654">
        <v>370</v>
      </c>
      <c r="L654">
        <v>2</v>
      </c>
    </row>
    <row r="655" spans="1:12">
      <c r="A655" t="s">
        <v>682</v>
      </c>
      <c r="B655" s="1">
        <v>45505</v>
      </c>
      <c r="C655" t="s">
        <v>33</v>
      </c>
      <c r="D655" s="9" t="s">
        <v>14</v>
      </c>
      <c r="E655" s="2">
        <v>45519</v>
      </c>
      <c r="F655" t="b">
        <v>1</v>
      </c>
      <c r="G655" t="s">
        <v>480</v>
      </c>
      <c r="H655">
        <v>35</v>
      </c>
      <c r="I655">
        <v>16</v>
      </c>
      <c r="J655">
        <v>2</v>
      </c>
      <c r="K655">
        <v>452</v>
      </c>
      <c r="L655">
        <v>1</v>
      </c>
    </row>
    <row r="656" spans="1:12">
      <c r="A656" t="s">
        <v>683</v>
      </c>
      <c r="B656" s="1">
        <v>45477.996527777781</v>
      </c>
      <c r="C656" t="s">
        <v>33</v>
      </c>
      <c r="D656" s="9" t="s">
        <v>20</v>
      </c>
      <c r="E656" s="2">
        <v>45525</v>
      </c>
      <c r="F656" t="b">
        <v>1</v>
      </c>
      <c r="G656" t="s">
        <v>480</v>
      </c>
      <c r="H656">
        <v>35</v>
      </c>
      <c r="I656">
        <v>10</v>
      </c>
      <c r="J656">
        <v>5</v>
      </c>
      <c r="K656">
        <v>630</v>
      </c>
      <c r="L656">
        <v>2</v>
      </c>
    </row>
    <row r="657" spans="1:12">
      <c r="A657" t="s">
        <v>684</v>
      </c>
      <c r="B657" s="1">
        <v>45383.15</v>
      </c>
      <c r="C657" t="s">
        <v>24</v>
      </c>
      <c r="D657" s="9" t="s">
        <v>14</v>
      </c>
      <c r="E657" s="2">
        <v>45508</v>
      </c>
      <c r="F657" t="b">
        <v>0</v>
      </c>
      <c r="G657" t="s">
        <v>480</v>
      </c>
      <c r="H657">
        <v>35</v>
      </c>
      <c r="I657">
        <v>23</v>
      </c>
      <c r="J657">
        <v>3</v>
      </c>
      <c r="K657">
        <v>384</v>
      </c>
      <c r="L657">
        <v>2</v>
      </c>
    </row>
    <row r="658" spans="1:12">
      <c r="A658" t="s">
        <v>685</v>
      </c>
      <c r="B658" s="1">
        <v>45391</v>
      </c>
      <c r="C658" t="s">
        <v>37</v>
      </c>
      <c r="D658" s="9" t="s">
        <v>14</v>
      </c>
      <c r="E658" s="2">
        <v>45522</v>
      </c>
      <c r="F658" t="b">
        <v>0</v>
      </c>
      <c r="G658" t="s">
        <v>480</v>
      </c>
      <c r="H658">
        <v>35</v>
      </c>
      <c r="I658">
        <v>24</v>
      </c>
      <c r="J658">
        <v>2</v>
      </c>
      <c r="K658">
        <v>566</v>
      </c>
      <c r="L658">
        <v>1</v>
      </c>
    </row>
    <row r="659" spans="1:12">
      <c r="A659" t="s">
        <v>686</v>
      </c>
      <c r="B659" s="1">
        <v>45327.911111111112</v>
      </c>
      <c r="C659" t="s">
        <v>37</v>
      </c>
      <c r="D659" s="9" t="s">
        <v>17</v>
      </c>
      <c r="E659" s="2">
        <v>45509</v>
      </c>
      <c r="F659" t="b">
        <v>1</v>
      </c>
      <c r="G659" t="s">
        <v>480</v>
      </c>
      <c r="H659">
        <v>35</v>
      </c>
      <c r="I659">
        <v>26</v>
      </c>
      <c r="J659">
        <v>10</v>
      </c>
      <c r="K659">
        <v>530</v>
      </c>
      <c r="L659">
        <v>0</v>
      </c>
    </row>
    <row r="660" spans="1:12">
      <c r="A660" t="s">
        <v>687</v>
      </c>
      <c r="B660" s="1">
        <v>45417</v>
      </c>
      <c r="C660" t="s">
        <v>19</v>
      </c>
      <c r="D660" s="9" t="s">
        <v>26</v>
      </c>
      <c r="E660" s="2">
        <v>45505</v>
      </c>
      <c r="F660" t="b">
        <v>0</v>
      </c>
      <c r="G660" t="s">
        <v>480</v>
      </c>
      <c r="H660">
        <v>35</v>
      </c>
      <c r="I660">
        <v>28</v>
      </c>
      <c r="J660">
        <v>2</v>
      </c>
      <c r="K660">
        <v>540</v>
      </c>
      <c r="L660">
        <v>1</v>
      </c>
    </row>
    <row r="661" spans="1:12">
      <c r="A661" t="s">
        <v>688</v>
      </c>
      <c r="B661" s="1">
        <v>45423</v>
      </c>
      <c r="C661" t="s">
        <v>37</v>
      </c>
      <c r="D661" s="9" t="s">
        <v>26</v>
      </c>
      <c r="E661" s="2">
        <v>45507</v>
      </c>
      <c r="F661" t="b">
        <v>1</v>
      </c>
      <c r="G661" t="s">
        <v>480</v>
      </c>
      <c r="H661">
        <v>34</v>
      </c>
      <c r="I661">
        <v>28</v>
      </c>
      <c r="J661">
        <v>5</v>
      </c>
      <c r="K661">
        <v>534</v>
      </c>
      <c r="L661">
        <v>1</v>
      </c>
    </row>
    <row r="662" spans="1:12">
      <c r="A662" t="s">
        <v>689</v>
      </c>
      <c r="B662" s="1">
        <v>45390.46597222222</v>
      </c>
      <c r="C662" t="s">
        <v>33</v>
      </c>
      <c r="D662" s="9" t="s">
        <v>20</v>
      </c>
      <c r="E662" s="2">
        <v>45517</v>
      </c>
      <c r="F662" t="b">
        <v>0</v>
      </c>
      <c r="G662" t="s">
        <v>480</v>
      </c>
      <c r="H662">
        <v>34</v>
      </c>
      <c r="I662">
        <v>12</v>
      </c>
      <c r="J662">
        <v>5</v>
      </c>
      <c r="K662">
        <v>594</v>
      </c>
      <c r="L662">
        <v>2</v>
      </c>
    </row>
    <row r="663" spans="1:12">
      <c r="A663" t="s">
        <v>690</v>
      </c>
      <c r="B663" s="1">
        <v>45355</v>
      </c>
      <c r="C663" t="s">
        <v>33</v>
      </c>
      <c r="D663" s="9" t="s">
        <v>14</v>
      </c>
      <c r="E663" s="2">
        <v>45513</v>
      </c>
      <c r="F663" t="b">
        <v>0</v>
      </c>
      <c r="G663" t="s">
        <v>480</v>
      </c>
      <c r="H663">
        <v>34</v>
      </c>
      <c r="I663">
        <v>1</v>
      </c>
      <c r="J663">
        <v>2</v>
      </c>
      <c r="K663">
        <v>602</v>
      </c>
      <c r="L663">
        <v>1</v>
      </c>
    </row>
    <row r="664" spans="1:12">
      <c r="A664" t="s">
        <v>691</v>
      </c>
      <c r="B664" s="1">
        <v>45519.618750000001</v>
      </c>
      <c r="C664" t="s">
        <v>13</v>
      </c>
      <c r="D664" s="9" t="s">
        <v>14</v>
      </c>
      <c r="E664" s="2">
        <v>45515</v>
      </c>
      <c r="F664" t="b">
        <v>1</v>
      </c>
      <c r="G664" t="s">
        <v>480</v>
      </c>
      <c r="H664">
        <v>34</v>
      </c>
      <c r="I664">
        <v>20</v>
      </c>
      <c r="J664">
        <v>2</v>
      </c>
      <c r="K664">
        <v>390</v>
      </c>
      <c r="L664">
        <v>2</v>
      </c>
    </row>
    <row r="665" spans="1:12">
      <c r="A665" t="s">
        <v>692</v>
      </c>
      <c r="B665" s="1">
        <v>45568</v>
      </c>
      <c r="C665" t="s">
        <v>13</v>
      </c>
      <c r="D665" s="9" t="s">
        <v>26</v>
      </c>
      <c r="E665" s="2">
        <v>45522</v>
      </c>
      <c r="F665" t="b">
        <v>1</v>
      </c>
      <c r="G665" t="s">
        <v>480</v>
      </c>
      <c r="H665">
        <v>34</v>
      </c>
      <c r="I665">
        <v>13</v>
      </c>
      <c r="J665">
        <v>7</v>
      </c>
      <c r="K665">
        <v>389</v>
      </c>
      <c r="L665">
        <v>1</v>
      </c>
    </row>
    <row r="666" spans="1:12">
      <c r="A666" t="s">
        <v>693</v>
      </c>
      <c r="B666" s="1">
        <v>45390.399305555555</v>
      </c>
      <c r="C666" t="s">
        <v>33</v>
      </c>
      <c r="D666" s="9" t="s">
        <v>26</v>
      </c>
      <c r="E666" s="2">
        <v>45528</v>
      </c>
      <c r="F666" t="b">
        <v>1</v>
      </c>
      <c r="G666" t="s">
        <v>480</v>
      </c>
      <c r="H666">
        <v>34</v>
      </c>
      <c r="I666">
        <v>7</v>
      </c>
      <c r="J666">
        <v>2</v>
      </c>
      <c r="K666">
        <v>324</v>
      </c>
      <c r="L666">
        <v>2</v>
      </c>
    </row>
    <row r="667" spans="1:12">
      <c r="A667" t="s">
        <v>694</v>
      </c>
      <c r="B667" s="1">
        <v>45440.501388888886</v>
      </c>
      <c r="C667" t="s">
        <v>33</v>
      </c>
      <c r="D667" s="9" t="s">
        <v>26</v>
      </c>
      <c r="E667" s="2">
        <v>45532</v>
      </c>
      <c r="F667" t="b">
        <v>0</v>
      </c>
      <c r="G667" t="s">
        <v>480</v>
      </c>
      <c r="H667">
        <v>34</v>
      </c>
      <c r="I667">
        <v>10</v>
      </c>
      <c r="J667">
        <v>5</v>
      </c>
      <c r="K667">
        <v>486</v>
      </c>
      <c r="L667">
        <v>2</v>
      </c>
    </row>
    <row r="668" spans="1:12">
      <c r="A668" t="s">
        <v>695</v>
      </c>
      <c r="B668" s="1">
        <v>45600.317361111112</v>
      </c>
      <c r="C668" t="s">
        <v>19</v>
      </c>
      <c r="D668" s="9" t="s">
        <v>20</v>
      </c>
      <c r="E668" s="2">
        <v>45529</v>
      </c>
      <c r="F668" t="b">
        <v>0</v>
      </c>
      <c r="G668" t="s">
        <v>480</v>
      </c>
      <c r="H668">
        <v>34</v>
      </c>
      <c r="I668">
        <v>12</v>
      </c>
      <c r="J668">
        <v>5</v>
      </c>
      <c r="K668">
        <v>364</v>
      </c>
      <c r="L668">
        <v>2</v>
      </c>
    </row>
    <row r="669" spans="1:12">
      <c r="A669" t="s">
        <v>696</v>
      </c>
      <c r="B669" s="1">
        <v>45507.584722222222</v>
      </c>
      <c r="C669" t="s">
        <v>24</v>
      </c>
      <c r="D669" s="9" t="s">
        <v>20</v>
      </c>
      <c r="E669" s="2">
        <v>45527</v>
      </c>
      <c r="F669" t="b">
        <v>1</v>
      </c>
      <c r="G669" t="s">
        <v>480</v>
      </c>
      <c r="H669">
        <v>34</v>
      </c>
      <c r="I669">
        <v>8</v>
      </c>
      <c r="J669">
        <v>4</v>
      </c>
      <c r="K669">
        <v>332</v>
      </c>
      <c r="L669">
        <v>2</v>
      </c>
    </row>
    <row r="670" spans="1:12">
      <c r="A670" t="s">
        <v>697</v>
      </c>
      <c r="B670" s="1">
        <v>45419</v>
      </c>
      <c r="C670" t="s">
        <v>30</v>
      </c>
      <c r="D670" s="9" t="s">
        <v>17</v>
      </c>
      <c r="E670" s="2">
        <v>45521</v>
      </c>
      <c r="F670" t="b">
        <v>0</v>
      </c>
      <c r="G670" t="s">
        <v>480</v>
      </c>
      <c r="H670">
        <v>33</v>
      </c>
      <c r="I670">
        <v>25</v>
      </c>
      <c r="J670">
        <v>16</v>
      </c>
      <c r="K670">
        <v>538</v>
      </c>
      <c r="L670">
        <v>0</v>
      </c>
    </row>
    <row r="671" spans="1:12">
      <c r="A671" t="s">
        <v>698</v>
      </c>
      <c r="B671" s="1">
        <v>45328</v>
      </c>
      <c r="C671" t="s">
        <v>30</v>
      </c>
      <c r="D671" s="9" t="s">
        <v>20</v>
      </c>
      <c r="E671" s="2">
        <v>45529</v>
      </c>
      <c r="F671" t="b">
        <v>1</v>
      </c>
      <c r="G671" t="s">
        <v>480</v>
      </c>
      <c r="H671">
        <v>33</v>
      </c>
      <c r="I671">
        <v>6</v>
      </c>
      <c r="J671">
        <v>3</v>
      </c>
      <c r="K671">
        <v>629</v>
      </c>
      <c r="L671">
        <v>1</v>
      </c>
    </row>
    <row r="672" spans="1:12">
      <c r="A672" t="s">
        <v>699</v>
      </c>
      <c r="B672" s="1">
        <v>45444.704861111109</v>
      </c>
      <c r="C672" t="s">
        <v>24</v>
      </c>
      <c r="D672" s="9" t="s">
        <v>14</v>
      </c>
      <c r="E672" s="2">
        <v>45515</v>
      </c>
      <c r="F672" t="b">
        <v>0</v>
      </c>
      <c r="G672" t="s">
        <v>480</v>
      </c>
      <c r="H672">
        <v>33</v>
      </c>
      <c r="I672">
        <v>19</v>
      </c>
      <c r="J672">
        <v>3</v>
      </c>
      <c r="K672">
        <v>568</v>
      </c>
      <c r="L672">
        <v>2</v>
      </c>
    </row>
    <row r="673" spans="1:12">
      <c r="A673" t="s">
        <v>700</v>
      </c>
      <c r="B673" s="1">
        <v>45452</v>
      </c>
      <c r="C673" t="s">
        <v>13</v>
      </c>
      <c r="D673" s="9" t="s">
        <v>20</v>
      </c>
      <c r="E673" s="2">
        <v>45521</v>
      </c>
      <c r="F673" t="b">
        <v>0</v>
      </c>
      <c r="G673" t="s">
        <v>480</v>
      </c>
      <c r="H673">
        <v>33</v>
      </c>
      <c r="I673">
        <v>22</v>
      </c>
      <c r="J673">
        <v>4</v>
      </c>
      <c r="K673">
        <v>505</v>
      </c>
      <c r="L673">
        <v>1</v>
      </c>
    </row>
    <row r="674" spans="1:12">
      <c r="A674" t="s">
        <v>701</v>
      </c>
      <c r="B674" s="1">
        <v>45384</v>
      </c>
      <c r="C674" t="s">
        <v>51</v>
      </c>
      <c r="D674" s="9" t="s">
        <v>14</v>
      </c>
      <c r="E674" s="2">
        <v>45510</v>
      </c>
      <c r="F674" t="b">
        <v>0</v>
      </c>
      <c r="G674" t="s">
        <v>480</v>
      </c>
      <c r="H674">
        <v>33</v>
      </c>
      <c r="I674">
        <v>5</v>
      </c>
      <c r="J674">
        <v>1</v>
      </c>
      <c r="K674">
        <v>573</v>
      </c>
      <c r="L674">
        <v>1</v>
      </c>
    </row>
    <row r="675" spans="1:12">
      <c r="A675" t="s">
        <v>702</v>
      </c>
      <c r="B675" s="1">
        <v>45499.246527777781</v>
      </c>
      <c r="C675" t="s">
        <v>51</v>
      </c>
      <c r="D675" s="9" t="s">
        <v>17</v>
      </c>
      <c r="E675" s="2">
        <v>45523</v>
      </c>
      <c r="F675" t="b">
        <v>1</v>
      </c>
      <c r="G675" t="s">
        <v>480</v>
      </c>
      <c r="H675">
        <v>33</v>
      </c>
      <c r="I675">
        <v>12</v>
      </c>
      <c r="J675">
        <v>10</v>
      </c>
      <c r="K675">
        <v>664</v>
      </c>
      <c r="L675">
        <v>0</v>
      </c>
    </row>
    <row r="676" spans="1:12">
      <c r="A676" t="s">
        <v>703</v>
      </c>
      <c r="B676" s="1">
        <v>45583.783333333333</v>
      </c>
      <c r="C676" t="s">
        <v>13</v>
      </c>
      <c r="D676" s="9" t="s">
        <v>14</v>
      </c>
      <c r="E676" s="2">
        <v>45521</v>
      </c>
      <c r="F676" t="b">
        <v>0</v>
      </c>
      <c r="G676" t="s">
        <v>480</v>
      </c>
      <c r="H676">
        <v>33</v>
      </c>
      <c r="I676">
        <v>30</v>
      </c>
      <c r="J676">
        <v>2</v>
      </c>
      <c r="K676">
        <v>613</v>
      </c>
      <c r="L676">
        <v>2</v>
      </c>
    </row>
    <row r="677" spans="1:12">
      <c r="A677" t="s">
        <v>704</v>
      </c>
      <c r="B677" s="1">
        <v>45450.890972222223</v>
      </c>
      <c r="C677" t="s">
        <v>30</v>
      </c>
      <c r="D677" s="9" t="s">
        <v>17</v>
      </c>
      <c r="E677" s="2">
        <v>45509</v>
      </c>
      <c r="F677" t="b">
        <v>1</v>
      </c>
      <c r="G677" t="s">
        <v>480</v>
      </c>
      <c r="H677">
        <v>32</v>
      </c>
      <c r="I677">
        <v>26</v>
      </c>
      <c r="J677">
        <v>20</v>
      </c>
      <c r="K677">
        <v>549</v>
      </c>
      <c r="L677">
        <v>0</v>
      </c>
    </row>
    <row r="678" spans="1:12">
      <c r="A678" t="s">
        <v>705</v>
      </c>
      <c r="B678" s="1">
        <v>45355.199999999997</v>
      </c>
      <c r="C678" t="s">
        <v>13</v>
      </c>
      <c r="D678" s="9" t="s">
        <v>17</v>
      </c>
      <c r="E678" s="2">
        <v>45522</v>
      </c>
      <c r="F678" t="b">
        <v>1</v>
      </c>
      <c r="G678" t="s">
        <v>480</v>
      </c>
      <c r="H678">
        <v>32</v>
      </c>
      <c r="I678">
        <v>13</v>
      </c>
      <c r="J678">
        <v>14</v>
      </c>
      <c r="K678">
        <v>428</v>
      </c>
      <c r="L678">
        <v>0</v>
      </c>
    </row>
    <row r="679" spans="1:12">
      <c r="A679" t="s">
        <v>706</v>
      </c>
      <c r="B679" s="1">
        <v>45329</v>
      </c>
      <c r="C679" t="s">
        <v>13</v>
      </c>
      <c r="D679" s="9" t="s">
        <v>14</v>
      </c>
      <c r="E679" s="2">
        <v>45520</v>
      </c>
      <c r="F679" t="b">
        <v>0</v>
      </c>
      <c r="G679" t="s">
        <v>480</v>
      </c>
      <c r="H679">
        <v>32</v>
      </c>
      <c r="I679">
        <v>4</v>
      </c>
      <c r="J679">
        <v>3</v>
      </c>
      <c r="K679">
        <v>628</v>
      </c>
      <c r="L679">
        <v>1</v>
      </c>
    </row>
    <row r="680" spans="1:12">
      <c r="A680" t="s">
        <v>707</v>
      </c>
      <c r="B680" s="1">
        <v>45387</v>
      </c>
      <c r="C680" t="s">
        <v>24</v>
      </c>
      <c r="D680" s="9" t="s">
        <v>26</v>
      </c>
      <c r="E680" s="2">
        <v>45506</v>
      </c>
      <c r="F680" t="b">
        <v>1</v>
      </c>
      <c r="G680" t="s">
        <v>480</v>
      </c>
      <c r="H680">
        <v>32</v>
      </c>
      <c r="I680">
        <v>29</v>
      </c>
      <c r="J680">
        <v>7</v>
      </c>
      <c r="K680">
        <v>570</v>
      </c>
      <c r="L680">
        <v>1</v>
      </c>
    </row>
    <row r="681" spans="1:12">
      <c r="A681" t="s">
        <v>708</v>
      </c>
      <c r="B681" s="1">
        <v>45608.107638888891</v>
      </c>
      <c r="C681" t="s">
        <v>51</v>
      </c>
      <c r="D681" s="9" t="s">
        <v>26</v>
      </c>
      <c r="E681" s="2">
        <v>45507</v>
      </c>
      <c r="F681" t="b">
        <v>1</v>
      </c>
      <c r="G681" t="s">
        <v>480</v>
      </c>
      <c r="H681">
        <v>32</v>
      </c>
      <c r="I681">
        <v>28</v>
      </c>
      <c r="J681">
        <v>2</v>
      </c>
      <c r="K681">
        <v>659</v>
      </c>
      <c r="L681">
        <v>2</v>
      </c>
    </row>
    <row r="682" spans="1:12">
      <c r="A682" t="s">
        <v>709</v>
      </c>
      <c r="B682" s="1">
        <v>45420</v>
      </c>
      <c r="C682" t="s">
        <v>13</v>
      </c>
      <c r="D682" s="9" t="s">
        <v>20</v>
      </c>
      <c r="E682" s="2">
        <v>45533</v>
      </c>
      <c r="F682" t="b">
        <v>1</v>
      </c>
      <c r="G682" t="s">
        <v>480</v>
      </c>
      <c r="H682">
        <v>32</v>
      </c>
      <c r="I682">
        <v>2</v>
      </c>
      <c r="J682">
        <v>5</v>
      </c>
      <c r="K682">
        <v>537</v>
      </c>
      <c r="L682">
        <v>1</v>
      </c>
    </row>
    <row r="683" spans="1:12">
      <c r="A683" t="s">
        <v>710</v>
      </c>
      <c r="B683" s="1">
        <v>45303.495138888888</v>
      </c>
      <c r="C683" t="s">
        <v>19</v>
      </c>
      <c r="D683" s="9" t="s">
        <v>14</v>
      </c>
      <c r="E683" s="2">
        <v>45524</v>
      </c>
      <c r="F683" t="b">
        <v>0</v>
      </c>
      <c r="G683" t="s">
        <v>480</v>
      </c>
      <c r="H683">
        <v>32</v>
      </c>
      <c r="I683">
        <v>1</v>
      </c>
      <c r="J683">
        <v>5</v>
      </c>
      <c r="K683">
        <v>472</v>
      </c>
      <c r="L683">
        <v>2</v>
      </c>
    </row>
    <row r="684" spans="1:12">
      <c r="A684" t="s">
        <v>711</v>
      </c>
      <c r="B684" s="1">
        <v>45632</v>
      </c>
      <c r="C684" t="s">
        <v>19</v>
      </c>
      <c r="D684" s="9" t="s">
        <v>14</v>
      </c>
      <c r="E684" s="2">
        <v>45508</v>
      </c>
      <c r="F684" t="b">
        <v>1</v>
      </c>
      <c r="G684" t="s">
        <v>480</v>
      </c>
      <c r="H684">
        <v>32</v>
      </c>
      <c r="I684">
        <v>27</v>
      </c>
      <c r="J684">
        <v>0</v>
      </c>
      <c r="K684">
        <v>325</v>
      </c>
      <c r="L684">
        <v>1</v>
      </c>
    </row>
    <row r="685" spans="1:12">
      <c r="A685" t="s">
        <v>712</v>
      </c>
      <c r="B685" s="1">
        <v>45436.100694444445</v>
      </c>
      <c r="C685" t="s">
        <v>13</v>
      </c>
      <c r="D685" s="9" t="s">
        <v>26</v>
      </c>
      <c r="E685" s="2">
        <v>45525</v>
      </c>
      <c r="F685" t="b">
        <v>1</v>
      </c>
      <c r="G685" t="s">
        <v>480</v>
      </c>
      <c r="H685">
        <v>32</v>
      </c>
      <c r="I685">
        <v>10</v>
      </c>
      <c r="J685">
        <v>2</v>
      </c>
      <c r="K685">
        <v>591</v>
      </c>
      <c r="L685">
        <v>2</v>
      </c>
    </row>
    <row r="686" spans="1:12">
      <c r="A686" t="s">
        <v>713</v>
      </c>
      <c r="B686" s="1">
        <v>45566.032638888886</v>
      </c>
      <c r="C686" t="s">
        <v>19</v>
      </c>
      <c r="D686" s="9" t="s">
        <v>14</v>
      </c>
      <c r="E686" s="2">
        <v>45508</v>
      </c>
      <c r="F686" t="b">
        <v>1</v>
      </c>
      <c r="G686" t="s">
        <v>480</v>
      </c>
      <c r="H686">
        <v>32</v>
      </c>
      <c r="I686">
        <v>27</v>
      </c>
      <c r="J686">
        <v>1</v>
      </c>
      <c r="K686">
        <v>463</v>
      </c>
      <c r="L686">
        <v>2</v>
      </c>
    </row>
    <row r="687" spans="1:12">
      <c r="A687" t="s">
        <v>714</v>
      </c>
      <c r="B687" s="1">
        <v>45545</v>
      </c>
      <c r="C687" t="s">
        <v>33</v>
      </c>
      <c r="D687" s="9" t="s">
        <v>20</v>
      </c>
      <c r="E687" s="2">
        <v>45522</v>
      </c>
      <c r="F687" t="b">
        <v>0</v>
      </c>
      <c r="G687" t="s">
        <v>480</v>
      </c>
      <c r="H687">
        <v>31</v>
      </c>
      <c r="I687">
        <v>10</v>
      </c>
      <c r="J687">
        <v>2</v>
      </c>
      <c r="K687">
        <v>412</v>
      </c>
      <c r="L687">
        <v>1</v>
      </c>
    </row>
    <row r="688" spans="1:12">
      <c r="A688" t="s">
        <v>715</v>
      </c>
      <c r="B688" s="1">
        <v>45429.354166666664</v>
      </c>
      <c r="C688" t="s">
        <v>24</v>
      </c>
      <c r="D688" s="9" t="s">
        <v>20</v>
      </c>
      <c r="E688" s="2">
        <v>45524</v>
      </c>
      <c r="F688" t="b">
        <v>0</v>
      </c>
      <c r="G688" t="s">
        <v>480</v>
      </c>
      <c r="H688">
        <v>31</v>
      </c>
      <c r="I688">
        <v>27</v>
      </c>
      <c r="J688">
        <v>5</v>
      </c>
      <c r="K688">
        <v>605</v>
      </c>
      <c r="L688">
        <v>2</v>
      </c>
    </row>
    <row r="689" spans="1:12">
      <c r="A689" t="s">
        <v>716</v>
      </c>
      <c r="B689" s="1">
        <v>45331.281944444447</v>
      </c>
      <c r="C689" t="s">
        <v>13</v>
      </c>
      <c r="D689" s="9" t="s">
        <v>26</v>
      </c>
      <c r="E689" s="2">
        <v>45512</v>
      </c>
      <c r="F689" t="b">
        <v>0</v>
      </c>
      <c r="G689" t="s">
        <v>480</v>
      </c>
      <c r="H689">
        <v>31</v>
      </c>
      <c r="I689">
        <v>25</v>
      </c>
      <c r="J689">
        <v>2</v>
      </c>
      <c r="K689">
        <v>529</v>
      </c>
      <c r="L689">
        <v>2</v>
      </c>
    </row>
    <row r="690" spans="1:12">
      <c r="A690" t="s">
        <v>717</v>
      </c>
      <c r="B690" s="1">
        <v>45394</v>
      </c>
      <c r="C690" t="s">
        <v>13</v>
      </c>
      <c r="D690" s="9" t="s">
        <v>20</v>
      </c>
      <c r="E690" s="2">
        <v>45526</v>
      </c>
      <c r="F690" t="b">
        <v>1</v>
      </c>
      <c r="G690" t="s">
        <v>480</v>
      </c>
      <c r="H690">
        <v>31</v>
      </c>
      <c r="I690">
        <v>9</v>
      </c>
      <c r="J690">
        <v>3</v>
      </c>
      <c r="K690">
        <v>563</v>
      </c>
      <c r="L690">
        <v>1</v>
      </c>
    </row>
    <row r="691" spans="1:12">
      <c r="A691" t="s">
        <v>718</v>
      </c>
      <c r="B691" s="1">
        <v>45604.078472222223</v>
      </c>
      <c r="C691" t="s">
        <v>37</v>
      </c>
      <c r="D691" s="9" t="s">
        <v>26</v>
      </c>
      <c r="E691" s="2">
        <v>45508</v>
      </c>
      <c r="F691" t="b">
        <v>1</v>
      </c>
      <c r="G691" t="s">
        <v>480</v>
      </c>
      <c r="H691">
        <v>31</v>
      </c>
      <c r="I691">
        <v>27</v>
      </c>
      <c r="J691">
        <v>4</v>
      </c>
      <c r="K691">
        <v>611</v>
      </c>
      <c r="L691">
        <v>2</v>
      </c>
    </row>
    <row r="692" spans="1:12">
      <c r="A692" t="s">
        <v>719</v>
      </c>
      <c r="B692" s="1">
        <v>45442.654861111114</v>
      </c>
      <c r="C692" t="s">
        <v>13</v>
      </c>
      <c r="D692" s="9" t="s">
        <v>14</v>
      </c>
      <c r="E692" s="2">
        <v>45514</v>
      </c>
      <c r="F692" t="b">
        <v>0</v>
      </c>
      <c r="G692" t="s">
        <v>480</v>
      </c>
      <c r="H692">
        <v>31</v>
      </c>
      <c r="I692">
        <v>24</v>
      </c>
      <c r="J692">
        <v>1</v>
      </c>
      <c r="K692">
        <v>538</v>
      </c>
      <c r="L692">
        <v>2</v>
      </c>
    </row>
    <row r="693" spans="1:12">
      <c r="A693" t="s">
        <v>720</v>
      </c>
      <c r="B693" s="1">
        <v>45523.535416666666</v>
      </c>
      <c r="C693" t="s">
        <v>51</v>
      </c>
      <c r="D693" s="9" t="s">
        <v>26</v>
      </c>
      <c r="E693" s="2">
        <v>45508</v>
      </c>
      <c r="F693" t="b">
        <v>0</v>
      </c>
      <c r="G693" t="s">
        <v>480</v>
      </c>
      <c r="H693">
        <v>31</v>
      </c>
      <c r="I693">
        <v>9</v>
      </c>
      <c r="J693">
        <v>2</v>
      </c>
      <c r="K693">
        <v>382</v>
      </c>
      <c r="L693">
        <v>2</v>
      </c>
    </row>
    <row r="694" spans="1:12">
      <c r="A694" t="s">
        <v>721</v>
      </c>
      <c r="B694" s="1">
        <v>45499.665277777778</v>
      </c>
      <c r="C694" t="s">
        <v>33</v>
      </c>
      <c r="D694" s="9" t="s">
        <v>26</v>
      </c>
      <c r="E694" s="2">
        <v>45511</v>
      </c>
      <c r="F694" t="b">
        <v>1</v>
      </c>
      <c r="G694" t="s">
        <v>480</v>
      </c>
      <c r="H694">
        <v>31</v>
      </c>
      <c r="I694">
        <v>24</v>
      </c>
      <c r="J694">
        <v>1</v>
      </c>
      <c r="K694">
        <v>460</v>
      </c>
      <c r="L694">
        <v>2</v>
      </c>
    </row>
    <row r="695" spans="1:12">
      <c r="A695" t="s">
        <v>722</v>
      </c>
      <c r="B695" s="1">
        <v>45505</v>
      </c>
      <c r="C695" t="s">
        <v>13</v>
      </c>
      <c r="D695" s="9" t="s">
        <v>14</v>
      </c>
      <c r="E695" s="2">
        <v>45507</v>
      </c>
      <c r="F695" t="b">
        <v>0</v>
      </c>
      <c r="G695" t="s">
        <v>723</v>
      </c>
      <c r="H695">
        <v>30</v>
      </c>
      <c r="I695">
        <v>5</v>
      </c>
      <c r="J695">
        <v>2</v>
      </c>
      <c r="K695">
        <v>452</v>
      </c>
      <c r="L695">
        <v>1</v>
      </c>
    </row>
    <row r="696" spans="1:12">
      <c r="A696" t="s">
        <v>724</v>
      </c>
      <c r="B696" s="1">
        <v>45505</v>
      </c>
      <c r="C696" t="s">
        <v>24</v>
      </c>
      <c r="D696" s="9" t="s">
        <v>17</v>
      </c>
      <c r="E696" s="2">
        <v>45509</v>
      </c>
      <c r="F696" t="b">
        <v>1</v>
      </c>
      <c r="G696" t="s">
        <v>723</v>
      </c>
      <c r="H696">
        <v>30</v>
      </c>
      <c r="I696">
        <v>26</v>
      </c>
      <c r="J696">
        <v>10</v>
      </c>
      <c r="K696">
        <v>452</v>
      </c>
      <c r="L696">
        <v>0</v>
      </c>
    </row>
    <row r="697" spans="1:12">
      <c r="A697" t="s">
        <v>725</v>
      </c>
      <c r="B697" s="1">
        <v>45505</v>
      </c>
      <c r="C697" t="s">
        <v>13</v>
      </c>
      <c r="D697" s="9" t="s">
        <v>26</v>
      </c>
      <c r="E697" s="2">
        <v>45518</v>
      </c>
      <c r="F697" t="b">
        <v>0</v>
      </c>
      <c r="G697" t="s">
        <v>723</v>
      </c>
      <c r="H697">
        <v>30</v>
      </c>
      <c r="I697">
        <v>15</v>
      </c>
      <c r="J697">
        <v>1</v>
      </c>
      <c r="K697">
        <v>452</v>
      </c>
      <c r="L697">
        <v>1</v>
      </c>
    </row>
    <row r="698" spans="1:12">
      <c r="A698" t="s">
        <v>726</v>
      </c>
      <c r="B698" s="1">
        <v>45505</v>
      </c>
      <c r="C698" t="s">
        <v>30</v>
      </c>
      <c r="D698" s="9" t="s">
        <v>26</v>
      </c>
      <c r="E698" s="2">
        <v>45520</v>
      </c>
      <c r="F698" t="b">
        <v>1</v>
      </c>
      <c r="G698" t="s">
        <v>723</v>
      </c>
      <c r="H698">
        <v>30</v>
      </c>
      <c r="I698">
        <v>15</v>
      </c>
      <c r="J698">
        <v>7</v>
      </c>
      <c r="K698">
        <v>452</v>
      </c>
      <c r="L698">
        <v>1</v>
      </c>
    </row>
    <row r="699" spans="1:12">
      <c r="A699" t="s">
        <v>727</v>
      </c>
      <c r="B699" s="1">
        <v>45505</v>
      </c>
      <c r="C699" t="s">
        <v>24</v>
      </c>
      <c r="D699" s="9" t="s">
        <v>20</v>
      </c>
      <c r="E699" s="2">
        <v>45527</v>
      </c>
      <c r="F699" t="b">
        <v>1</v>
      </c>
      <c r="G699" t="s">
        <v>723</v>
      </c>
      <c r="H699">
        <v>30</v>
      </c>
      <c r="I699">
        <v>8</v>
      </c>
      <c r="J699">
        <v>10</v>
      </c>
      <c r="K699">
        <v>452</v>
      </c>
      <c r="L699">
        <v>0</v>
      </c>
    </row>
    <row r="700" spans="1:12">
      <c r="A700" t="s">
        <v>728</v>
      </c>
      <c r="B700" s="1">
        <v>45505</v>
      </c>
      <c r="C700" t="s">
        <v>37</v>
      </c>
      <c r="D700" s="9" t="s">
        <v>26</v>
      </c>
      <c r="E700" s="2">
        <v>45509</v>
      </c>
      <c r="F700" t="b">
        <v>1</v>
      </c>
      <c r="G700" t="s">
        <v>723</v>
      </c>
      <c r="H700">
        <v>30</v>
      </c>
      <c r="I700">
        <v>26</v>
      </c>
      <c r="J700">
        <v>2</v>
      </c>
      <c r="K700">
        <v>452</v>
      </c>
      <c r="L700">
        <v>1</v>
      </c>
    </row>
    <row r="701" spans="1:12">
      <c r="A701" t="s">
        <v>729</v>
      </c>
      <c r="B701" s="1">
        <v>45506</v>
      </c>
      <c r="C701" t="s">
        <v>13</v>
      </c>
      <c r="D701" s="9" t="s">
        <v>26</v>
      </c>
      <c r="E701" s="2">
        <v>45515</v>
      </c>
      <c r="F701" t="b">
        <v>0</v>
      </c>
      <c r="G701" t="s">
        <v>723</v>
      </c>
      <c r="H701">
        <v>29</v>
      </c>
      <c r="I701">
        <v>26</v>
      </c>
      <c r="J701">
        <v>1</v>
      </c>
      <c r="K701">
        <v>451</v>
      </c>
      <c r="L701">
        <v>1</v>
      </c>
    </row>
    <row r="702" spans="1:12">
      <c r="A702" t="s">
        <v>730</v>
      </c>
      <c r="B702" s="1">
        <v>45506</v>
      </c>
      <c r="C702" t="s">
        <v>33</v>
      </c>
      <c r="D702" s="9" t="s">
        <v>26</v>
      </c>
      <c r="E702" s="2">
        <v>45506</v>
      </c>
      <c r="F702" t="b">
        <v>1</v>
      </c>
      <c r="G702" t="s">
        <v>723</v>
      </c>
      <c r="H702">
        <v>29</v>
      </c>
      <c r="I702">
        <v>29</v>
      </c>
      <c r="J702">
        <v>4</v>
      </c>
      <c r="K702">
        <v>451</v>
      </c>
      <c r="L702">
        <v>1</v>
      </c>
    </row>
    <row r="703" spans="1:12">
      <c r="A703" t="s">
        <v>731</v>
      </c>
      <c r="B703" s="1">
        <v>45506</v>
      </c>
      <c r="C703" t="s">
        <v>13</v>
      </c>
      <c r="D703" s="9" t="s">
        <v>26</v>
      </c>
      <c r="E703" s="2">
        <v>45534</v>
      </c>
      <c r="F703" t="b">
        <v>0</v>
      </c>
      <c r="G703" t="s">
        <v>723</v>
      </c>
      <c r="H703">
        <v>29</v>
      </c>
      <c r="I703">
        <v>25</v>
      </c>
      <c r="J703">
        <v>4</v>
      </c>
      <c r="K703">
        <v>451</v>
      </c>
      <c r="L703">
        <v>1</v>
      </c>
    </row>
    <row r="704" spans="1:12">
      <c r="A704" t="s">
        <v>732</v>
      </c>
      <c r="B704" s="1">
        <v>45506</v>
      </c>
      <c r="C704" t="s">
        <v>37</v>
      </c>
      <c r="D704" s="9" t="s">
        <v>20</v>
      </c>
      <c r="E704" s="2">
        <v>45530</v>
      </c>
      <c r="F704" t="b">
        <v>1</v>
      </c>
      <c r="G704" t="s">
        <v>723</v>
      </c>
      <c r="H704">
        <v>29</v>
      </c>
      <c r="I704">
        <v>5</v>
      </c>
      <c r="J704">
        <v>8</v>
      </c>
      <c r="K704">
        <v>451</v>
      </c>
      <c r="L704">
        <v>0</v>
      </c>
    </row>
    <row r="705" spans="1:12">
      <c r="A705" t="s">
        <v>733</v>
      </c>
      <c r="B705" s="1">
        <v>45506</v>
      </c>
      <c r="C705" t="s">
        <v>13</v>
      </c>
      <c r="D705" s="9" t="s">
        <v>14</v>
      </c>
      <c r="E705" s="2">
        <v>45506</v>
      </c>
      <c r="F705" t="b">
        <v>0</v>
      </c>
      <c r="G705" t="s">
        <v>723</v>
      </c>
      <c r="H705">
        <v>29</v>
      </c>
      <c r="I705">
        <v>6</v>
      </c>
      <c r="J705">
        <v>1</v>
      </c>
      <c r="K705">
        <v>451</v>
      </c>
      <c r="L705">
        <v>1</v>
      </c>
    </row>
    <row r="706" spans="1:12">
      <c r="A706" t="s">
        <v>734</v>
      </c>
      <c r="B706" s="1">
        <v>45507</v>
      </c>
      <c r="C706" t="s">
        <v>33</v>
      </c>
      <c r="D706" s="9" t="s">
        <v>14</v>
      </c>
      <c r="E706" s="2">
        <v>45506</v>
      </c>
      <c r="F706" t="b">
        <v>0</v>
      </c>
      <c r="G706" t="s">
        <v>723</v>
      </c>
      <c r="H706">
        <v>28</v>
      </c>
      <c r="I706">
        <v>8</v>
      </c>
      <c r="J706">
        <v>3</v>
      </c>
      <c r="K706">
        <v>450</v>
      </c>
      <c r="L706">
        <v>1</v>
      </c>
    </row>
    <row r="707" spans="1:12">
      <c r="A707" t="s">
        <v>735</v>
      </c>
      <c r="B707" s="1">
        <v>45507</v>
      </c>
      <c r="C707" t="s">
        <v>19</v>
      </c>
      <c r="D707" s="9" t="s">
        <v>20</v>
      </c>
      <c r="E707" s="2">
        <v>45528</v>
      </c>
      <c r="F707" t="b">
        <v>1</v>
      </c>
      <c r="G707" t="s">
        <v>723</v>
      </c>
      <c r="H707">
        <v>28</v>
      </c>
      <c r="I707">
        <v>7</v>
      </c>
      <c r="J707">
        <v>6</v>
      </c>
      <c r="K707">
        <v>450</v>
      </c>
      <c r="L707">
        <v>1</v>
      </c>
    </row>
    <row r="708" spans="1:12">
      <c r="A708" t="s">
        <v>736</v>
      </c>
      <c r="B708" s="1">
        <v>45507</v>
      </c>
      <c r="C708" t="s">
        <v>37</v>
      </c>
      <c r="D708" s="9" t="s">
        <v>14</v>
      </c>
      <c r="E708" s="2">
        <v>45506</v>
      </c>
      <c r="F708" t="b">
        <v>0</v>
      </c>
      <c r="G708" t="s">
        <v>723</v>
      </c>
      <c r="H708">
        <v>28</v>
      </c>
      <c r="I708">
        <v>6</v>
      </c>
      <c r="J708">
        <v>2</v>
      </c>
      <c r="K708">
        <v>450</v>
      </c>
      <c r="L708">
        <v>1</v>
      </c>
    </row>
    <row r="709" spans="1:12">
      <c r="A709" t="s">
        <v>737</v>
      </c>
      <c r="B709" s="1">
        <v>45507</v>
      </c>
      <c r="C709" t="s">
        <v>24</v>
      </c>
      <c r="D709" s="9" t="s">
        <v>17</v>
      </c>
      <c r="E709" s="2">
        <v>45524</v>
      </c>
      <c r="F709" t="b">
        <v>0</v>
      </c>
      <c r="G709" t="s">
        <v>723</v>
      </c>
      <c r="H709">
        <v>28</v>
      </c>
      <c r="I709">
        <v>11</v>
      </c>
      <c r="J709">
        <v>12</v>
      </c>
      <c r="K709">
        <v>450</v>
      </c>
      <c r="L709">
        <v>0</v>
      </c>
    </row>
    <row r="710" spans="1:12">
      <c r="A710" t="s">
        <v>738</v>
      </c>
      <c r="B710" s="1">
        <v>45507</v>
      </c>
      <c r="C710" t="s">
        <v>37</v>
      </c>
      <c r="D710" s="9" t="s">
        <v>26</v>
      </c>
      <c r="E710" s="2">
        <v>45525</v>
      </c>
      <c r="F710" t="b">
        <v>1</v>
      </c>
      <c r="G710" t="s">
        <v>723</v>
      </c>
      <c r="H710">
        <v>28</v>
      </c>
      <c r="I710">
        <v>10</v>
      </c>
      <c r="J710">
        <v>3</v>
      </c>
      <c r="K710">
        <v>450</v>
      </c>
      <c r="L710">
        <v>1</v>
      </c>
    </row>
    <row r="711" spans="1:12">
      <c r="A711" t="s">
        <v>739</v>
      </c>
      <c r="B711" s="1">
        <v>45507</v>
      </c>
      <c r="C711" t="s">
        <v>30</v>
      </c>
      <c r="D711" s="9" t="s">
        <v>14</v>
      </c>
      <c r="E711" s="2">
        <v>45507</v>
      </c>
      <c r="F711" t="b">
        <v>0</v>
      </c>
      <c r="G711" t="s">
        <v>723</v>
      </c>
      <c r="H711">
        <v>28</v>
      </c>
      <c r="I711">
        <v>6</v>
      </c>
      <c r="J711">
        <v>1</v>
      </c>
      <c r="K711">
        <v>450</v>
      </c>
      <c r="L711">
        <v>1</v>
      </c>
    </row>
    <row r="712" spans="1:12">
      <c r="A712" t="s">
        <v>740</v>
      </c>
      <c r="B712" s="1">
        <v>45507</v>
      </c>
      <c r="C712" t="s">
        <v>37</v>
      </c>
      <c r="D712" s="9" t="s">
        <v>26</v>
      </c>
      <c r="E712" s="2">
        <v>45508</v>
      </c>
      <c r="F712" t="b">
        <v>1</v>
      </c>
      <c r="G712" t="s">
        <v>723</v>
      </c>
      <c r="H712">
        <v>28</v>
      </c>
      <c r="I712">
        <v>27</v>
      </c>
      <c r="J712">
        <v>2</v>
      </c>
      <c r="K712">
        <v>450</v>
      </c>
      <c r="L712">
        <v>1</v>
      </c>
    </row>
    <row r="713" spans="1:12">
      <c r="A713" t="s">
        <v>741</v>
      </c>
      <c r="B713" s="1">
        <v>45507</v>
      </c>
      <c r="C713" t="s">
        <v>30</v>
      </c>
      <c r="D713" s="9" t="s">
        <v>14</v>
      </c>
      <c r="E713" s="2">
        <v>45514</v>
      </c>
      <c r="F713" t="b">
        <v>1</v>
      </c>
      <c r="G713" t="s">
        <v>723</v>
      </c>
      <c r="H713">
        <v>28</v>
      </c>
      <c r="I713">
        <v>21</v>
      </c>
      <c r="J713">
        <v>1</v>
      </c>
      <c r="K713">
        <v>450</v>
      </c>
      <c r="L713">
        <v>1</v>
      </c>
    </row>
    <row r="714" spans="1:12">
      <c r="A714" t="s">
        <v>742</v>
      </c>
      <c r="B714" s="1">
        <v>45507</v>
      </c>
      <c r="C714" t="s">
        <v>37</v>
      </c>
      <c r="D714" s="9" t="s">
        <v>20</v>
      </c>
      <c r="E714" s="2">
        <v>45530</v>
      </c>
      <c r="F714" t="b">
        <v>1</v>
      </c>
      <c r="G714" t="s">
        <v>723</v>
      </c>
      <c r="H714">
        <v>28</v>
      </c>
      <c r="I714">
        <v>5</v>
      </c>
      <c r="J714">
        <v>6</v>
      </c>
      <c r="K714">
        <v>450</v>
      </c>
      <c r="L714">
        <v>1</v>
      </c>
    </row>
    <row r="715" spans="1:12">
      <c r="A715" t="s">
        <v>743</v>
      </c>
      <c r="B715" s="1">
        <v>45507</v>
      </c>
      <c r="C715" t="s">
        <v>13</v>
      </c>
      <c r="D715" s="9" t="s">
        <v>26</v>
      </c>
      <c r="E715" s="2">
        <v>45516</v>
      </c>
      <c r="F715" t="b">
        <v>1</v>
      </c>
      <c r="G715" t="s">
        <v>723</v>
      </c>
      <c r="H715">
        <v>28</v>
      </c>
      <c r="I715">
        <v>19</v>
      </c>
      <c r="J715">
        <v>3</v>
      </c>
      <c r="K715">
        <v>450</v>
      </c>
      <c r="L715">
        <v>1</v>
      </c>
    </row>
    <row r="716" spans="1:12">
      <c r="A716" t="s">
        <v>744</v>
      </c>
      <c r="B716" s="1">
        <v>45507</v>
      </c>
      <c r="C716" t="s">
        <v>13</v>
      </c>
      <c r="D716" s="9" t="s">
        <v>26</v>
      </c>
      <c r="E716" s="2">
        <v>45514</v>
      </c>
      <c r="F716" t="b">
        <v>1</v>
      </c>
      <c r="G716" t="s">
        <v>723</v>
      </c>
      <c r="H716">
        <v>28</v>
      </c>
      <c r="I716">
        <v>21</v>
      </c>
      <c r="J716">
        <v>3</v>
      </c>
      <c r="K716">
        <v>450</v>
      </c>
      <c r="L716">
        <v>1</v>
      </c>
    </row>
    <row r="717" spans="1:12">
      <c r="A717" t="s">
        <v>745</v>
      </c>
      <c r="B717" s="1">
        <v>45507</v>
      </c>
      <c r="C717" t="s">
        <v>33</v>
      </c>
      <c r="D717" s="9" t="s">
        <v>14</v>
      </c>
      <c r="E717" s="2">
        <v>45521</v>
      </c>
      <c r="F717" t="b">
        <v>0</v>
      </c>
      <c r="G717" t="s">
        <v>723</v>
      </c>
      <c r="H717">
        <v>28</v>
      </c>
      <c r="I717">
        <v>30</v>
      </c>
      <c r="J717">
        <v>1</v>
      </c>
      <c r="K717">
        <v>450</v>
      </c>
      <c r="L717">
        <v>1</v>
      </c>
    </row>
    <row r="718" spans="1:12">
      <c r="A718" t="s">
        <v>746</v>
      </c>
      <c r="B718" s="1">
        <v>45508</v>
      </c>
      <c r="C718" t="s">
        <v>51</v>
      </c>
      <c r="D718" s="9" t="s">
        <v>20</v>
      </c>
      <c r="E718" s="2">
        <v>45527</v>
      </c>
      <c r="F718" t="b">
        <v>1</v>
      </c>
      <c r="G718" t="s">
        <v>723</v>
      </c>
      <c r="H718">
        <v>27</v>
      </c>
      <c r="I718">
        <v>8</v>
      </c>
      <c r="J718">
        <v>10</v>
      </c>
      <c r="K718">
        <v>449</v>
      </c>
      <c r="L718">
        <v>0</v>
      </c>
    </row>
    <row r="719" spans="1:12">
      <c r="A719" t="s">
        <v>747</v>
      </c>
      <c r="B719" s="1">
        <v>45508</v>
      </c>
      <c r="C719" t="s">
        <v>30</v>
      </c>
      <c r="D719" s="9" t="s">
        <v>14</v>
      </c>
      <c r="E719" s="2">
        <v>45525</v>
      </c>
      <c r="F719" t="b">
        <v>0</v>
      </c>
      <c r="G719" t="s">
        <v>723</v>
      </c>
      <c r="H719">
        <v>27</v>
      </c>
      <c r="I719">
        <v>30</v>
      </c>
      <c r="J719">
        <v>1</v>
      </c>
      <c r="K719">
        <v>449</v>
      </c>
      <c r="L719">
        <v>1</v>
      </c>
    </row>
    <row r="720" spans="1:12">
      <c r="A720" t="s">
        <v>748</v>
      </c>
      <c r="B720" s="1">
        <v>45508</v>
      </c>
      <c r="C720" t="s">
        <v>13</v>
      </c>
      <c r="D720" s="9" t="s">
        <v>14</v>
      </c>
      <c r="E720" s="2">
        <v>45518</v>
      </c>
      <c r="F720" t="b">
        <v>1</v>
      </c>
      <c r="G720" t="s">
        <v>723</v>
      </c>
      <c r="H720">
        <v>27</v>
      </c>
      <c r="I720">
        <v>17</v>
      </c>
      <c r="J720">
        <v>1</v>
      </c>
      <c r="K720">
        <v>449</v>
      </c>
      <c r="L720">
        <v>1</v>
      </c>
    </row>
    <row r="721" spans="1:12">
      <c r="A721" t="s">
        <v>749</v>
      </c>
      <c r="B721" s="1">
        <v>45508</v>
      </c>
      <c r="C721" t="s">
        <v>22</v>
      </c>
      <c r="D721" s="9" t="s">
        <v>26</v>
      </c>
      <c r="E721" s="2">
        <v>45533</v>
      </c>
      <c r="F721" t="b">
        <v>0</v>
      </c>
      <c r="G721" t="s">
        <v>723</v>
      </c>
      <c r="H721">
        <v>27</v>
      </c>
      <c r="I721">
        <v>17</v>
      </c>
      <c r="J721">
        <v>9</v>
      </c>
      <c r="K721">
        <v>449</v>
      </c>
      <c r="L721">
        <v>0</v>
      </c>
    </row>
    <row r="722" spans="1:12">
      <c r="A722" t="s">
        <v>750</v>
      </c>
      <c r="B722" s="1">
        <v>45508</v>
      </c>
      <c r="C722" t="s">
        <v>22</v>
      </c>
      <c r="D722" s="9" t="s">
        <v>26</v>
      </c>
      <c r="E722" s="2">
        <v>45509</v>
      </c>
      <c r="F722" t="b">
        <v>1</v>
      </c>
      <c r="G722" t="s">
        <v>723</v>
      </c>
      <c r="H722">
        <v>27</v>
      </c>
      <c r="I722">
        <v>26</v>
      </c>
      <c r="J722">
        <v>3</v>
      </c>
      <c r="K722">
        <v>449</v>
      </c>
      <c r="L722">
        <v>1</v>
      </c>
    </row>
    <row r="723" spans="1:12">
      <c r="A723" t="s">
        <v>751</v>
      </c>
      <c r="B723" s="1">
        <v>45508</v>
      </c>
      <c r="C723" t="s">
        <v>13</v>
      </c>
      <c r="D723" s="9" t="s">
        <v>26</v>
      </c>
      <c r="E723" s="2">
        <v>45525</v>
      </c>
      <c r="F723" t="b">
        <v>0</v>
      </c>
      <c r="G723" t="s">
        <v>723</v>
      </c>
      <c r="H723">
        <v>27</v>
      </c>
      <c r="I723">
        <v>23</v>
      </c>
      <c r="J723">
        <v>2</v>
      </c>
      <c r="K723">
        <v>449</v>
      </c>
      <c r="L723">
        <v>1</v>
      </c>
    </row>
    <row r="724" spans="1:12">
      <c r="A724" t="s">
        <v>752</v>
      </c>
      <c r="B724" s="1">
        <v>45508</v>
      </c>
      <c r="C724" t="s">
        <v>37</v>
      </c>
      <c r="D724" s="9" t="s">
        <v>26</v>
      </c>
      <c r="E724" s="2">
        <v>45531</v>
      </c>
      <c r="F724" t="b">
        <v>0</v>
      </c>
      <c r="G724" t="s">
        <v>723</v>
      </c>
      <c r="H724">
        <v>27</v>
      </c>
      <c r="I724">
        <v>20</v>
      </c>
      <c r="J724">
        <v>2</v>
      </c>
      <c r="K724">
        <v>449</v>
      </c>
      <c r="L724">
        <v>1</v>
      </c>
    </row>
    <row r="725" spans="1:12">
      <c r="A725" t="s">
        <v>753</v>
      </c>
      <c r="B725" s="1">
        <v>45509</v>
      </c>
      <c r="C725" t="s">
        <v>13</v>
      </c>
      <c r="D725" s="9" t="s">
        <v>20</v>
      </c>
      <c r="E725" s="2">
        <v>45521</v>
      </c>
      <c r="F725" t="b">
        <v>0</v>
      </c>
      <c r="G725" t="s">
        <v>723</v>
      </c>
      <c r="H725">
        <v>26</v>
      </c>
      <c r="I725">
        <v>25</v>
      </c>
      <c r="J725">
        <v>2</v>
      </c>
      <c r="K725">
        <v>448</v>
      </c>
      <c r="L725">
        <v>1</v>
      </c>
    </row>
    <row r="726" spans="1:12">
      <c r="A726" t="s">
        <v>754</v>
      </c>
      <c r="B726" s="1">
        <v>45509</v>
      </c>
      <c r="C726" t="s">
        <v>37</v>
      </c>
      <c r="D726" s="9" t="s">
        <v>14</v>
      </c>
      <c r="E726" s="2">
        <v>45527</v>
      </c>
      <c r="F726" t="b">
        <v>0</v>
      </c>
      <c r="G726" t="s">
        <v>723</v>
      </c>
      <c r="H726">
        <v>26</v>
      </c>
      <c r="I726">
        <v>6</v>
      </c>
      <c r="J726">
        <v>2</v>
      </c>
      <c r="K726">
        <v>448</v>
      </c>
      <c r="L726">
        <v>1</v>
      </c>
    </row>
    <row r="727" spans="1:12">
      <c r="A727" t="s">
        <v>755</v>
      </c>
      <c r="B727" s="1">
        <v>45509</v>
      </c>
      <c r="C727" t="s">
        <v>13</v>
      </c>
      <c r="D727" s="9" t="s">
        <v>14</v>
      </c>
      <c r="E727" s="2">
        <v>45533</v>
      </c>
      <c r="F727" t="b">
        <v>0</v>
      </c>
      <c r="G727" t="s">
        <v>723</v>
      </c>
      <c r="H727">
        <v>26</v>
      </c>
      <c r="I727">
        <v>13</v>
      </c>
      <c r="J727">
        <v>1</v>
      </c>
      <c r="K727">
        <v>448</v>
      </c>
      <c r="L727">
        <v>1</v>
      </c>
    </row>
    <row r="728" spans="1:12">
      <c r="A728" t="s">
        <v>756</v>
      </c>
      <c r="B728" s="1">
        <v>45509</v>
      </c>
      <c r="C728" t="s">
        <v>24</v>
      </c>
      <c r="D728" s="9" t="s">
        <v>20</v>
      </c>
      <c r="E728" s="2">
        <v>45515</v>
      </c>
      <c r="F728" t="b">
        <v>0</v>
      </c>
      <c r="G728" t="s">
        <v>723</v>
      </c>
      <c r="H728">
        <v>26</v>
      </c>
      <c r="I728">
        <v>24</v>
      </c>
      <c r="J728">
        <v>9</v>
      </c>
      <c r="K728">
        <v>448</v>
      </c>
      <c r="L728">
        <v>0</v>
      </c>
    </row>
    <row r="729" spans="1:12">
      <c r="A729" t="s">
        <v>757</v>
      </c>
      <c r="B729" s="1">
        <v>45509</v>
      </c>
      <c r="C729" t="s">
        <v>13</v>
      </c>
      <c r="D729" s="9" t="s">
        <v>26</v>
      </c>
      <c r="E729" s="2">
        <v>45510</v>
      </c>
      <c r="F729" t="b">
        <v>1</v>
      </c>
      <c r="G729" t="s">
        <v>723</v>
      </c>
      <c r="H729">
        <v>26</v>
      </c>
      <c r="I729">
        <v>25</v>
      </c>
      <c r="J729">
        <v>3</v>
      </c>
      <c r="K729">
        <v>448</v>
      </c>
      <c r="L729">
        <v>1</v>
      </c>
    </row>
    <row r="730" spans="1:12">
      <c r="A730" t="s">
        <v>758</v>
      </c>
      <c r="B730" s="1">
        <v>45509</v>
      </c>
      <c r="C730" t="s">
        <v>19</v>
      </c>
      <c r="D730" s="9" t="s">
        <v>14</v>
      </c>
      <c r="E730" s="2">
        <v>45520</v>
      </c>
      <c r="F730" t="b">
        <v>0</v>
      </c>
      <c r="G730" t="s">
        <v>723</v>
      </c>
      <c r="H730">
        <v>26</v>
      </c>
      <c r="I730">
        <v>4</v>
      </c>
      <c r="J730">
        <v>2</v>
      </c>
      <c r="K730">
        <v>448</v>
      </c>
      <c r="L730">
        <v>1</v>
      </c>
    </row>
    <row r="731" spans="1:12">
      <c r="A731" t="s">
        <v>759</v>
      </c>
      <c r="B731" s="1">
        <v>45509</v>
      </c>
      <c r="C731" t="s">
        <v>30</v>
      </c>
      <c r="D731" s="9" t="s">
        <v>26</v>
      </c>
      <c r="E731" s="2">
        <v>45524</v>
      </c>
      <c r="F731" t="b">
        <v>1</v>
      </c>
      <c r="G731" t="s">
        <v>723</v>
      </c>
      <c r="H731">
        <v>26</v>
      </c>
      <c r="I731">
        <v>11</v>
      </c>
      <c r="J731">
        <v>6</v>
      </c>
      <c r="K731">
        <v>448</v>
      </c>
      <c r="L731">
        <v>1</v>
      </c>
    </row>
    <row r="732" spans="1:12">
      <c r="A732" t="s">
        <v>760</v>
      </c>
      <c r="B732" s="1">
        <v>45509</v>
      </c>
      <c r="C732" t="s">
        <v>13</v>
      </c>
      <c r="D732" s="9" t="s">
        <v>14</v>
      </c>
      <c r="E732" s="2">
        <v>45522</v>
      </c>
      <c r="F732" t="b">
        <v>0</v>
      </c>
      <c r="G732" t="s">
        <v>723</v>
      </c>
      <c r="H732">
        <v>26</v>
      </c>
      <c r="I732">
        <v>7</v>
      </c>
      <c r="J732">
        <v>2</v>
      </c>
      <c r="K732">
        <v>448</v>
      </c>
      <c r="L732">
        <v>1</v>
      </c>
    </row>
    <row r="733" spans="1:12">
      <c r="A733" t="s">
        <v>761</v>
      </c>
      <c r="B733" s="1">
        <v>45509</v>
      </c>
      <c r="C733" t="s">
        <v>19</v>
      </c>
      <c r="D733" s="9" t="s">
        <v>14</v>
      </c>
      <c r="E733" s="2">
        <v>45510</v>
      </c>
      <c r="F733" t="b">
        <v>0</v>
      </c>
      <c r="G733" t="s">
        <v>723</v>
      </c>
      <c r="H733">
        <v>26</v>
      </c>
      <c r="I733">
        <v>8</v>
      </c>
      <c r="J733">
        <v>1</v>
      </c>
      <c r="K733">
        <v>448</v>
      </c>
      <c r="L733">
        <v>1</v>
      </c>
    </row>
    <row r="734" spans="1:12">
      <c r="A734" t="s">
        <v>762</v>
      </c>
      <c r="B734" s="1">
        <v>45510</v>
      </c>
      <c r="C734" t="s">
        <v>33</v>
      </c>
      <c r="D734" s="9" t="s">
        <v>14</v>
      </c>
      <c r="E734" s="2">
        <v>45523</v>
      </c>
      <c r="F734" t="b">
        <v>0</v>
      </c>
      <c r="G734" t="s">
        <v>723</v>
      </c>
      <c r="H734">
        <v>25</v>
      </c>
      <c r="I734">
        <v>27</v>
      </c>
      <c r="J734">
        <v>2</v>
      </c>
      <c r="K734">
        <v>447</v>
      </c>
      <c r="L734">
        <v>1</v>
      </c>
    </row>
    <row r="735" spans="1:12">
      <c r="A735" t="s">
        <v>763</v>
      </c>
      <c r="B735" s="1">
        <v>45510</v>
      </c>
      <c r="C735" t="s">
        <v>30</v>
      </c>
      <c r="D735" s="9" t="s">
        <v>20</v>
      </c>
      <c r="E735" s="2">
        <v>45534</v>
      </c>
      <c r="F735" t="b">
        <v>1</v>
      </c>
      <c r="G735" t="s">
        <v>723</v>
      </c>
      <c r="H735">
        <v>25</v>
      </c>
      <c r="I735">
        <v>1</v>
      </c>
      <c r="J735">
        <v>7</v>
      </c>
      <c r="K735">
        <v>447</v>
      </c>
      <c r="L735">
        <v>1</v>
      </c>
    </row>
    <row r="736" spans="1:12">
      <c r="A736" t="s">
        <v>764</v>
      </c>
      <c r="B736" s="1">
        <v>45510</v>
      </c>
      <c r="C736" t="s">
        <v>24</v>
      </c>
      <c r="D736" s="9" t="s">
        <v>20</v>
      </c>
      <c r="E736" s="2">
        <v>45534</v>
      </c>
      <c r="F736" t="b">
        <v>1</v>
      </c>
      <c r="G736" t="s">
        <v>723</v>
      </c>
      <c r="H736">
        <v>25</v>
      </c>
      <c r="I736">
        <v>1</v>
      </c>
      <c r="J736">
        <v>2</v>
      </c>
      <c r="K736">
        <v>447</v>
      </c>
      <c r="L736">
        <v>1</v>
      </c>
    </row>
    <row r="737" spans="1:12">
      <c r="A737" t="s">
        <v>765</v>
      </c>
      <c r="B737" s="1">
        <v>45510</v>
      </c>
      <c r="C737" t="s">
        <v>37</v>
      </c>
      <c r="D737" s="9" t="s">
        <v>20</v>
      </c>
      <c r="E737" s="2">
        <v>45519</v>
      </c>
      <c r="F737" t="b">
        <v>1</v>
      </c>
      <c r="G737" t="s">
        <v>723</v>
      </c>
      <c r="H737">
        <v>25</v>
      </c>
      <c r="I737">
        <v>16</v>
      </c>
      <c r="J737">
        <v>6</v>
      </c>
      <c r="K737">
        <v>447</v>
      </c>
      <c r="L737">
        <v>1</v>
      </c>
    </row>
    <row r="738" spans="1:12">
      <c r="A738" t="s">
        <v>766</v>
      </c>
      <c r="B738" s="1">
        <v>45510</v>
      </c>
      <c r="C738" t="s">
        <v>13</v>
      </c>
      <c r="D738" s="9" t="s">
        <v>20</v>
      </c>
      <c r="E738" s="2">
        <v>45526</v>
      </c>
      <c r="F738" t="b">
        <v>0</v>
      </c>
      <c r="G738" t="s">
        <v>723</v>
      </c>
      <c r="H738">
        <v>25</v>
      </c>
      <c r="I738">
        <v>2</v>
      </c>
      <c r="J738">
        <v>6</v>
      </c>
      <c r="K738">
        <v>447</v>
      </c>
      <c r="L738">
        <v>1</v>
      </c>
    </row>
    <row r="739" spans="1:12">
      <c r="A739" t="s">
        <v>767</v>
      </c>
      <c r="B739" s="1">
        <v>45510</v>
      </c>
      <c r="C739" t="s">
        <v>37</v>
      </c>
      <c r="D739" s="9" t="s">
        <v>14</v>
      </c>
      <c r="E739" s="2">
        <v>45530</v>
      </c>
      <c r="F739" t="b">
        <v>0</v>
      </c>
      <c r="G739" t="s">
        <v>723</v>
      </c>
      <c r="H739">
        <v>25</v>
      </c>
      <c r="I739">
        <v>15</v>
      </c>
      <c r="J739">
        <v>1</v>
      </c>
      <c r="K739">
        <v>447</v>
      </c>
      <c r="L739">
        <v>1</v>
      </c>
    </row>
    <row r="740" spans="1:12">
      <c r="A740" t="s">
        <v>768</v>
      </c>
      <c r="B740" s="1">
        <v>45510</v>
      </c>
      <c r="C740" t="s">
        <v>37</v>
      </c>
      <c r="D740" s="9" t="s">
        <v>26</v>
      </c>
      <c r="E740" s="2">
        <v>45515</v>
      </c>
      <c r="F740" t="b">
        <v>1</v>
      </c>
      <c r="G740" t="s">
        <v>723</v>
      </c>
      <c r="H740">
        <v>25</v>
      </c>
      <c r="I740">
        <v>20</v>
      </c>
      <c r="J740">
        <v>4</v>
      </c>
      <c r="K740">
        <v>447</v>
      </c>
      <c r="L740">
        <v>1</v>
      </c>
    </row>
    <row r="741" spans="1:12">
      <c r="A741" t="s">
        <v>769</v>
      </c>
      <c r="B741" s="1">
        <v>45510</v>
      </c>
      <c r="C741" t="s">
        <v>30</v>
      </c>
      <c r="D741" s="9" t="s">
        <v>26</v>
      </c>
      <c r="E741" s="2">
        <v>45507</v>
      </c>
      <c r="F741" t="b">
        <v>0</v>
      </c>
      <c r="G741" t="s">
        <v>723</v>
      </c>
      <c r="H741">
        <v>25</v>
      </c>
      <c r="I741">
        <v>16</v>
      </c>
      <c r="J741">
        <v>2</v>
      </c>
      <c r="K741">
        <v>447</v>
      </c>
      <c r="L741">
        <v>1</v>
      </c>
    </row>
    <row r="742" spans="1:12">
      <c r="A742" t="s">
        <v>770</v>
      </c>
      <c r="B742" s="1">
        <v>45510</v>
      </c>
      <c r="C742" t="s">
        <v>24</v>
      </c>
      <c r="D742" s="9" t="s">
        <v>26</v>
      </c>
      <c r="E742" s="2">
        <v>45533</v>
      </c>
      <c r="F742" t="b">
        <v>0</v>
      </c>
      <c r="G742" t="s">
        <v>723</v>
      </c>
      <c r="H742">
        <v>25</v>
      </c>
      <c r="I742">
        <v>12</v>
      </c>
      <c r="J742">
        <v>2</v>
      </c>
      <c r="K742">
        <v>447</v>
      </c>
      <c r="L742">
        <v>1</v>
      </c>
    </row>
    <row r="743" spans="1:12">
      <c r="A743" t="s">
        <v>771</v>
      </c>
      <c r="B743" s="1">
        <v>45511</v>
      </c>
      <c r="C743" t="s">
        <v>24</v>
      </c>
      <c r="D743" s="9" t="s">
        <v>20</v>
      </c>
      <c r="E743" s="2">
        <v>45530</v>
      </c>
      <c r="F743" t="b">
        <v>1</v>
      </c>
      <c r="G743" t="s">
        <v>723</v>
      </c>
      <c r="H743">
        <v>24</v>
      </c>
      <c r="I743">
        <v>5</v>
      </c>
      <c r="J743">
        <v>7</v>
      </c>
      <c r="K743">
        <v>446</v>
      </c>
      <c r="L743">
        <v>1</v>
      </c>
    </row>
    <row r="744" spans="1:12">
      <c r="A744" t="s">
        <v>772</v>
      </c>
      <c r="B744" s="1">
        <v>45511</v>
      </c>
      <c r="C744" t="s">
        <v>19</v>
      </c>
      <c r="D744" s="9" t="s">
        <v>14</v>
      </c>
      <c r="E744" s="2">
        <v>45527</v>
      </c>
      <c r="F744" t="b">
        <v>0</v>
      </c>
      <c r="G744" t="s">
        <v>723</v>
      </c>
      <c r="H744">
        <v>24</v>
      </c>
      <c r="I744">
        <v>23</v>
      </c>
      <c r="J744">
        <v>2</v>
      </c>
      <c r="K744">
        <v>446</v>
      </c>
      <c r="L744">
        <v>1</v>
      </c>
    </row>
    <row r="745" spans="1:12">
      <c r="A745" t="s">
        <v>773</v>
      </c>
      <c r="B745" s="1">
        <v>45511</v>
      </c>
      <c r="C745" t="s">
        <v>30</v>
      </c>
      <c r="D745" s="9" t="s">
        <v>26</v>
      </c>
      <c r="E745" s="2">
        <v>45506</v>
      </c>
      <c r="F745" t="b">
        <v>0</v>
      </c>
      <c r="G745" t="s">
        <v>723</v>
      </c>
      <c r="H745">
        <v>24</v>
      </c>
      <c r="I745">
        <v>29</v>
      </c>
      <c r="J745">
        <v>4</v>
      </c>
      <c r="K745">
        <v>446</v>
      </c>
      <c r="L745">
        <v>1</v>
      </c>
    </row>
    <row r="746" spans="1:12">
      <c r="A746" t="s">
        <v>774</v>
      </c>
      <c r="B746" s="1">
        <v>45511</v>
      </c>
      <c r="C746" t="s">
        <v>33</v>
      </c>
      <c r="D746" s="9" t="s">
        <v>26</v>
      </c>
      <c r="E746" s="2">
        <v>45523</v>
      </c>
      <c r="F746" t="b">
        <v>1</v>
      </c>
      <c r="G746" t="s">
        <v>723</v>
      </c>
      <c r="H746">
        <v>24</v>
      </c>
      <c r="I746">
        <v>12</v>
      </c>
      <c r="J746">
        <v>7</v>
      </c>
      <c r="K746">
        <v>446</v>
      </c>
      <c r="L746">
        <v>1</v>
      </c>
    </row>
    <row r="747" spans="1:12">
      <c r="A747" t="s">
        <v>775</v>
      </c>
      <c r="B747" s="1">
        <v>45511</v>
      </c>
      <c r="C747" t="s">
        <v>13</v>
      </c>
      <c r="D747" s="9" t="s">
        <v>26</v>
      </c>
      <c r="E747" s="2">
        <v>45512</v>
      </c>
      <c r="F747" t="b">
        <v>0</v>
      </c>
      <c r="G747" t="s">
        <v>723</v>
      </c>
      <c r="H747">
        <v>24</v>
      </c>
      <c r="I747">
        <v>8</v>
      </c>
      <c r="J747">
        <v>2</v>
      </c>
      <c r="K747">
        <v>446</v>
      </c>
      <c r="L747">
        <v>1</v>
      </c>
    </row>
    <row r="748" spans="1:12">
      <c r="A748" t="s">
        <v>776</v>
      </c>
      <c r="B748" s="1">
        <v>45511</v>
      </c>
      <c r="C748" t="s">
        <v>13</v>
      </c>
      <c r="D748" s="9" t="s">
        <v>26</v>
      </c>
      <c r="E748" s="2">
        <v>45534</v>
      </c>
      <c r="F748" t="b">
        <v>1</v>
      </c>
      <c r="G748" t="s">
        <v>723</v>
      </c>
      <c r="H748">
        <v>24</v>
      </c>
      <c r="I748">
        <v>1</v>
      </c>
      <c r="J748">
        <v>5</v>
      </c>
      <c r="K748">
        <v>446</v>
      </c>
      <c r="L748">
        <v>1</v>
      </c>
    </row>
    <row r="749" spans="1:12">
      <c r="A749" t="s">
        <v>777</v>
      </c>
      <c r="B749" s="1">
        <v>45511</v>
      </c>
      <c r="C749" t="s">
        <v>37</v>
      </c>
      <c r="D749" s="9" t="s">
        <v>14</v>
      </c>
      <c r="E749" s="2">
        <v>45517</v>
      </c>
      <c r="F749" t="b">
        <v>1</v>
      </c>
      <c r="G749" t="s">
        <v>723</v>
      </c>
      <c r="H749">
        <v>24</v>
      </c>
      <c r="I749">
        <v>18</v>
      </c>
      <c r="J749">
        <v>1</v>
      </c>
      <c r="K749">
        <v>446</v>
      </c>
      <c r="L749">
        <v>1</v>
      </c>
    </row>
    <row r="750" spans="1:12">
      <c r="A750" t="s">
        <v>778</v>
      </c>
      <c r="B750" s="1">
        <v>45511</v>
      </c>
      <c r="C750" t="s">
        <v>37</v>
      </c>
      <c r="D750" s="9" t="s">
        <v>14</v>
      </c>
      <c r="E750" s="2">
        <v>45533</v>
      </c>
      <c r="F750" t="b">
        <v>0</v>
      </c>
      <c r="G750" t="s">
        <v>723</v>
      </c>
      <c r="H750">
        <v>24</v>
      </c>
      <c r="I750">
        <v>14</v>
      </c>
      <c r="J750">
        <v>1</v>
      </c>
      <c r="K750">
        <v>446</v>
      </c>
      <c r="L750">
        <v>1</v>
      </c>
    </row>
    <row r="751" spans="1:12">
      <c r="A751" t="s">
        <v>779</v>
      </c>
      <c r="B751" s="1">
        <v>45512</v>
      </c>
      <c r="C751" t="s">
        <v>13</v>
      </c>
      <c r="D751" s="9" t="s">
        <v>26</v>
      </c>
      <c r="E751" s="2">
        <v>45529</v>
      </c>
      <c r="F751" t="b">
        <v>1</v>
      </c>
      <c r="G751" t="s">
        <v>723</v>
      </c>
      <c r="H751">
        <v>23</v>
      </c>
      <c r="I751">
        <v>6</v>
      </c>
      <c r="J751">
        <v>12</v>
      </c>
      <c r="K751">
        <v>445</v>
      </c>
      <c r="L751">
        <v>0</v>
      </c>
    </row>
    <row r="752" spans="1:12">
      <c r="A752" t="s">
        <v>780</v>
      </c>
      <c r="B752" s="1">
        <v>45512</v>
      </c>
      <c r="C752" t="s">
        <v>13</v>
      </c>
      <c r="D752" s="9" t="s">
        <v>14</v>
      </c>
      <c r="E752" s="2">
        <v>45523</v>
      </c>
      <c r="F752" t="b">
        <v>0</v>
      </c>
      <c r="G752" t="s">
        <v>723</v>
      </c>
      <c r="H752">
        <v>23</v>
      </c>
      <c r="I752">
        <v>24</v>
      </c>
      <c r="J752">
        <v>1</v>
      </c>
      <c r="K752">
        <v>445</v>
      </c>
      <c r="L752">
        <v>1</v>
      </c>
    </row>
    <row r="753" spans="1:12">
      <c r="A753" t="s">
        <v>781</v>
      </c>
      <c r="B753" s="1">
        <v>45512</v>
      </c>
      <c r="C753" t="s">
        <v>37</v>
      </c>
      <c r="D753" s="9" t="s">
        <v>14</v>
      </c>
      <c r="E753" s="2">
        <v>45537</v>
      </c>
      <c r="F753" t="b">
        <v>0</v>
      </c>
      <c r="G753" t="s">
        <v>723</v>
      </c>
      <c r="H753">
        <v>23</v>
      </c>
      <c r="I753">
        <v>6</v>
      </c>
      <c r="J753">
        <v>1</v>
      </c>
      <c r="K753">
        <v>445</v>
      </c>
      <c r="L753">
        <v>1</v>
      </c>
    </row>
    <row r="754" spans="1:12">
      <c r="A754" t="s">
        <v>782</v>
      </c>
      <c r="B754" s="1">
        <v>45512</v>
      </c>
      <c r="C754" t="s">
        <v>30</v>
      </c>
      <c r="D754" s="9" t="s">
        <v>26</v>
      </c>
      <c r="E754" s="2">
        <v>45520</v>
      </c>
      <c r="F754" t="b">
        <v>1</v>
      </c>
      <c r="G754" t="s">
        <v>723</v>
      </c>
      <c r="H754">
        <v>23</v>
      </c>
      <c r="I754">
        <v>15</v>
      </c>
      <c r="J754">
        <v>2</v>
      </c>
      <c r="K754">
        <v>445</v>
      </c>
      <c r="L754">
        <v>1</v>
      </c>
    </row>
    <row r="755" spans="1:12">
      <c r="A755" t="s">
        <v>783</v>
      </c>
      <c r="B755" s="1">
        <v>45512</v>
      </c>
      <c r="C755" t="s">
        <v>22</v>
      </c>
      <c r="D755" s="9" t="s">
        <v>14</v>
      </c>
      <c r="E755" s="2">
        <v>45516</v>
      </c>
      <c r="F755" t="b">
        <v>0</v>
      </c>
      <c r="G755" t="s">
        <v>723</v>
      </c>
      <c r="H755">
        <v>23</v>
      </c>
      <c r="I755">
        <v>25</v>
      </c>
      <c r="J755">
        <v>1</v>
      </c>
      <c r="K755">
        <v>445</v>
      </c>
      <c r="L755">
        <v>1</v>
      </c>
    </row>
    <row r="756" spans="1:12">
      <c r="A756" t="s">
        <v>784</v>
      </c>
      <c r="B756" s="1">
        <v>45512</v>
      </c>
      <c r="C756" t="s">
        <v>37</v>
      </c>
      <c r="D756" s="9" t="s">
        <v>26</v>
      </c>
      <c r="E756" s="2">
        <v>45516</v>
      </c>
      <c r="F756" t="b">
        <v>1</v>
      </c>
      <c r="G756" t="s">
        <v>723</v>
      </c>
      <c r="H756">
        <v>23</v>
      </c>
      <c r="I756">
        <v>19</v>
      </c>
      <c r="J756">
        <v>8</v>
      </c>
      <c r="K756">
        <v>445</v>
      </c>
      <c r="L756">
        <v>0</v>
      </c>
    </row>
    <row r="757" spans="1:12">
      <c r="A757" t="s">
        <v>785</v>
      </c>
      <c r="B757" s="1">
        <v>45512</v>
      </c>
      <c r="C757" t="s">
        <v>22</v>
      </c>
      <c r="D757" s="9" t="s">
        <v>20</v>
      </c>
      <c r="E757" s="2">
        <v>45512</v>
      </c>
      <c r="F757" t="b">
        <v>1</v>
      </c>
      <c r="G757" t="s">
        <v>723</v>
      </c>
      <c r="H757">
        <v>23</v>
      </c>
      <c r="I757">
        <v>23</v>
      </c>
      <c r="J757">
        <v>1</v>
      </c>
      <c r="K757">
        <v>445</v>
      </c>
      <c r="L757">
        <v>1</v>
      </c>
    </row>
    <row r="758" spans="1:12">
      <c r="A758" t="s">
        <v>786</v>
      </c>
      <c r="B758" s="1">
        <v>45512</v>
      </c>
      <c r="C758" t="s">
        <v>19</v>
      </c>
      <c r="D758" s="9" t="s">
        <v>20</v>
      </c>
      <c r="E758" s="2">
        <v>45515</v>
      </c>
      <c r="F758" t="b">
        <v>1</v>
      </c>
      <c r="G758" t="s">
        <v>723</v>
      </c>
      <c r="H758">
        <v>23</v>
      </c>
      <c r="I758">
        <v>20</v>
      </c>
      <c r="J758">
        <v>7</v>
      </c>
      <c r="K758">
        <v>445</v>
      </c>
      <c r="L758">
        <v>1</v>
      </c>
    </row>
    <row r="759" spans="1:12">
      <c r="A759" t="s">
        <v>787</v>
      </c>
      <c r="B759" s="1">
        <v>45512</v>
      </c>
      <c r="C759" t="s">
        <v>19</v>
      </c>
      <c r="D759" s="9" t="s">
        <v>26</v>
      </c>
      <c r="E759" s="2">
        <v>45516</v>
      </c>
      <c r="F759" t="b">
        <v>1</v>
      </c>
      <c r="G759" t="s">
        <v>723</v>
      </c>
      <c r="H759">
        <v>23</v>
      </c>
      <c r="I759">
        <v>19</v>
      </c>
      <c r="J759">
        <v>5</v>
      </c>
      <c r="K759">
        <v>445</v>
      </c>
      <c r="L759">
        <v>1</v>
      </c>
    </row>
    <row r="760" spans="1:12">
      <c r="A760" t="s">
        <v>788</v>
      </c>
      <c r="B760" s="1">
        <v>45512</v>
      </c>
      <c r="C760" t="s">
        <v>19</v>
      </c>
      <c r="D760" s="9" t="s">
        <v>14</v>
      </c>
      <c r="E760" s="2">
        <v>45530</v>
      </c>
      <c r="F760" t="b">
        <v>1</v>
      </c>
      <c r="G760" t="s">
        <v>723</v>
      </c>
      <c r="H760">
        <v>23</v>
      </c>
      <c r="I760">
        <v>5</v>
      </c>
      <c r="J760">
        <v>1</v>
      </c>
      <c r="K760">
        <v>445</v>
      </c>
      <c r="L760">
        <v>1</v>
      </c>
    </row>
    <row r="761" spans="1:12">
      <c r="A761" t="s">
        <v>789</v>
      </c>
      <c r="B761" s="1">
        <v>45513</v>
      </c>
      <c r="C761" t="s">
        <v>37</v>
      </c>
      <c r="D761" s="9" t="s">
        <v>20</v>
      </c>
      <c r="E761" s="2">
        <v>45551</v>
      </c>
      <c r="F761" t="b">
        <v>0</v>
      </c>
      <c r="G761" t="s">
        <v>723</v>
      </c>
      <c r="H761">
        <v>22</v>
      </c>
      <c r="I761">
        <v>20</v>
      </c>
      <c r="J761">
        <v>5</v>
      </c>
      <c r="K761">
        <v>444</v>
      </c>
      <c r="L761">
        <v>1</v>
      </c>
    </row>
    <row r="762" spans="1:12">
      <c r="A762" t="s">
        <v>790</v>
      </c>
      <c r="B762" s="1">
        <v>45513</v>
      </c>
      <c r="C762" t="s">
        <v>37</v>
      </c>
      <c r="D762" s="9" t="s">
        <v>14</v>
      </c>
      <c r="E762" s="2">
        <v>45560</v>
      </c>
      <c r="F762" t="b">
        <v>0</v>
      </c>
      <c r="G762" t="s">
        <v>723</v>
      </c>
      <c r="H762">
        <v>22</v>
      </c>
      <c r="I762">
        <v>30</v>
      </c>
      <c r="J762">
        <v>4</v>
      </c>
      <c r="K762">
        <v>444</v>
      </c>
      <c r="L762">
        <v>1</v>
      </c>
    </row>
    <row r="763" spans="1:12">
      <c r="A763" t="s">
        <v>791</v>
      </c>
      <c r="B763" s="1">
        <v>45513</v>
      </c>
      <c r="C763" t="s">
        <v>24</v>
      </c>
      <c r="D763" s="9" t="s">
        <v>14</v>
      </c>
      <c r="E763" s="2">
        <v>45570</v>
      </c>
      <c r="F763" t="b">
        <v>0</v>
      </c>
      <c r="G763" t="s">
        <v>723</v>
      </c>
      <c r="H763">
        <v>22</v>
      </c>
      <c r="I763">
        <v>12</v>
      </c>
      <c r="J763">
        <v>1</v>
      </c>
      <c r="K763">
        <v>444</v>
      </c>
      <c r="L763">
        <v>1</v>
      </c>
    </row>
    <row r="764" spans="1:12">
      <c r="A764" t="s">
        <v>792</v>
      </c>
      <c r="B764" s="1">
        <v>45513</v>
      </c>
      <c r="C764" t="s">
        <v>22</v>
      </c>
      <c r="D764" s="9" t="s">
        <v>20</v>
      </c>
      <c r="E764" s="2">
        <v>45563</v>
      </c>
      <c r="F764" t="b">
        <v>1</v>
      </c>
      <c r="G764" t="s">
        <v>723</v>
      </c>
      <c r="H764">
        <v>22</v>
      </c>
      <c r="I764">
        <v>17</v>
      </c>
      <c r="J764">
        <v>8</v>
      </c>
      <c r="K764">
        <v>444</v>
      </c>
      <c r="L764">
        <v>0</v>
      </c>
    </row>
    <row r="765" spans="1:12">
      <c r="A765" t="s">
        <v>793</v>
      </c>
      <c r="B765" s="1">
        <v>45513</v>
      </c>
      <c r="C765" t="s">
        <v>33</v>
      </c>
      <c r="D765" s="9" t="s">
        <v>17</v>
      </c>
      <c r="E765" s="2">
        <v>45563</v>
      </c>
      <c r="F765" t="b">
        <v>1</v>
      </c>
      <c r="G765" t="s">
        <v>723</v>
      </c>
      <c r="H765">
        <v>22</v>
      </c>
      <c r="I765">
        <v>4</v>
      </c>
      <c r="J765">
        <v>13</v>
      </c>
      <c r="K765">
        <v>444</v>
      </c>
      <c r="L765">
        <v>0</v>
      </c>
    </row>
    <row r="766" spans="1:12">
      <c r="A766" t="s">
        <v>794</v>
      </c>
      <c r="B766" s="1">
        <v>45513</v>
      </c>
      <c r="C766" t="s">
        <v>37</v>
      </c>
      <c r="D766" s="9" t="s">
        <v>14</v>
      </c>
      <c r="E766" s="2">
        <v>45566</v>
      </c>
      <c r="F766" t="b">
        <v>0</v>
      </c>
      <c r="G766" t="s">
        <v>723</v>
      </c>
      <c r="H766">
        <v>22</v>
      </c>
      <c r="I766">
        <v>29</v>
      </c>
      <c r="J766">
        <v>3</v>
      </c>
      <c r="K766">
        <v>444</v>
      </c>
      <c r="L766">
        <v>1</v>
      </c>
    </row>
    <row r="767" spans="1:12">
      <c r="A767" t="s">
        <v>795</v>
      </c>
      <c r="B767" s="1">
        <v>45513</v>
      </c>
      <c r="C767" t="s">
        <v>13</v>
      </c>
      <c r="D767" s="9" t="s">
        <v>26</v>
      </c>
      <c r="E767" s="2">
        <v>45555</v>
      </c>
      <c r="F767" t="b">
        <v>1</v>
      </c>
      <c r="G767" t="s">
        <v>723</v>
      </c>
      <c r="H767">
        <v>22</v>
      </c>
      <c r="I767">
        <v>16</v>
      </c>
      <c r="J767">
        <v>9</v>
      </c>
      <c r="K767">
        <v>444</v>
      </c>
      <c r="L767">
        <v>0</v>
      </c>
    </row>
    <row r="768" spans="1:12">
      <c r="A768" t="s">
        <v>796</v>
      </c>
      <c r="B768" s="1">
        <v>45513</v>
      </c>
      <c r="C768" t="s">
        <v>30</v>
      </c>
      <c r="D768" s="9" t="s">
        <v>14</v>
      </c>
      <c r="E768" s="2">
        <v>45547</v>
      </c>
      <c r="F768" t="b">
        <v>0</v>
      </c>
      <c r="G768" t="s">
        <v>723</v>
      </c>
      <c r="H768">
        <v>22</v>
      </c>
      <c r="I768">
        <v>4</v>
      </c>
      <c r="J768">
        <v>1</v>
      </c>
      <c r="K768">
        <v>444</v>
      </c>
      <c r="L768">
        <v>1</v>
      </c>
    </row>
    <row r="769" spans="1:12">
      <c r="A769" t="s">
        <v>797</v>
      </c>
      <c r="B769" s="1">
        <v>45513</v>
      </c>
      <c r="C769" t="s">
        <v>13</v>
      </c>
      <c r="D769" s="9" t="s">
        <v>26</v>
      </c>
      <c r="E769" s="2">
        <v>45570</v>
      </c>
      <c r="F769" t="b">
        <v>1</v>
      </c>
      <c r="G769" t="s">
        <v>723</v>
      </c>
      <c r="H769">
        <v>22</v>
      </c>
      <c r="I769">
        <v>22</v>
      </c>
      <c r="J769">
        <v>6</v>
      </c>
      <c r="K769">
        <v>444</v>
      </c>
      <c r="L769">
        <v>1</v>
      </c>
    </row>
    <row r="770" spans="1:12">
      <c r="A770" t="s">
        <v>798</v>
      </c>
      <c r="B770" s="1">
        <v>45513</v>
      </c>
      <c r="C770" t="s">
        <v>13</v>
      </c>
      <c r="D770" s="9" t="s">
        <v>20</v>
      </c>
      <c r="E770" s="2">
        <v>45548</v>
      </c>
      <c r="F770" t="b">
        <v>0</v>
      </c>
      <c r="G770" t="s">
        <v>723</v>
      </c>
      <c r="H770">
        <v>22</v>
      </c>
      <c r="I770">
        <v>18</v>
      </c>
      <c r="J770">
        <v>6</v>
      </c>
      <c r="K770">
        <v>444</v>
      </c>
      <c r="L770">
        <v>1</v>
      </c>
    </row>
    <row r="771" spans="1:12">
      <c r="A771" t="s">
        <v>799</v>
      </c>
      <c r="B771" s="1">
        <v>45514</v>
      </c>
      <c r="C771" t="s">
        <v>37</v>
      </c>
      <c r="D771" s="9" t="s">
        <v>14</v>
      </c>
      <c r="E771" s="2">
        <v>45588</v>
      </c>
      <c r="F771" t="b">
        <v>0</v>
      </c>
      <c r="G771" t="s">
        <v>723</v>
      </c>
      <c r="H771">
        <v>21</v>
      </c>
      <c r="I771">
        <v>22</v>
      </c>
      <c r="J771">
        <v>4</v>
      </c>
      <c r="K771">
        <v>443</v>
      </c>
      <c r="L771">
        <v>1</v>
      </c>
    </row>
    <row r="772" spans="1:12">
      <c r="A772" t="s">
        <v>800</v>
      </c>
      <c r="B772" s="1">
        <v>45514</v>
      </c>
      <c r="C772" t="s">
        <v>13</v>
      </c>
      <c r="D772" s="9" t="s">
        <v>20</v>
      </c>
      <c r="E772" s="2">
        <v>45575</v>
      </c>
      <c r="F772" t="b">
        <v>1</v>
      </c>
      <c r="G772" t="s">
        <v>723</v>
      </c>
      <c r="H772">
        <v>21</v>
      </c>
      <c r="I772">
        <v>17</v>
      </c>
      <c r="J772">
        <v>5</v>
      </c>
      <c r="K772">
        <v>443</v>
      </c>
      <c r="L772">
        <v>1</v>
      </c>
    </row>
    <row r="773" spans="1:12">
      <c r="A773" t="s">
        <v>801</v>
      </c>
      <c r="B773" s="1">
        <v>45514</v>
      </c>
      <c r="C773" t="s">
        <v>51</v>
      </c>
      <c r="D773" s="9" t="s">
        <v>14</v>
      </c>
      <c r="E773" s="2">
        <v>45590</v>
      </c>
      <c r="F773" t="b">
        <v>1</v>
      </c>
      <c r="G773" t="s">
        <v>723</v>
      </c>
      <c r="H773">
        <v>21</v>
      </c>
      <c r="I773">
        <v>13</v>
      </c>
      <c r="J773">
        <v>4</v>
      </c>
      <c r="K773">
        <v>443</v>
      </c>
      <c r="L773">
        <v>1</v>
      </c>
    </row>
    <row r="774" spans="1:12">
      <c r="A774" t="s">
        <v>802</v>
      </c>
      <c r="B774" s="1">
        <v>45514</v>
      </c>
      <c r="C774" t="s">
        <v>13</v>
      </c>
      <c r="D774" s="9" t="s">
        <v>14</v>
      </c>
      <c r="E774" s="2">
        <v>45595</v>
      </c>
      <c r="F774" t="b">
        <v>0</v>
      </c>
      <c r="G774" t="s">
        <v>723</v>
      </c>
      <c r="H774">
        <v>21</v>
      </c>
      <c r="I774">
        <v>9</v>
      </c>
      <c r="J774">
        <v>1</v>
      </c>
      <c r="K774">
        <v>443</v>
      </c>
      <c r="L774">
        <v>1</v>
      </c>
    </row>
    <row r="775" spans="1:12">
      <c r="A775" t="s">
        <v>803</v>
      </c>
      <c r="B775" s="1">
        <v>45514</v>
      </c>
      <c r="C775" t="s">
        <v>24</v>
      </c>
      <c r="D775" s="9" t="s">
        <v>17</v>
      </c>
      <c r="E775" s="2">
        <v>45575</v>
      </c>
      <c r="F775" t="b">
        <v>1</v>
      </c>
      <c r="G775" t="s">
        <v>723</v>
      </c>
      <c r="H775">
        <v>21</v>
      </c>
      <c r="I775">
        <v>5</v>
      </c>
      <c r="J775">
        <v>12</v>
      </c>
      <c r="K775">
        <v>443</v>
      </c>
      <c r="L775">
        <v>0</v>
      </c>
    </row>
    <row r="776" spans="1:12">
      <c r="A776" t="s">
        <v>804</v>
      </c>
      <c r="B776" s="1">
        <v>45514</v>
      </c>
      <c r="C776" t="s">
        <v>13</v>
      </c>
      <c r="D776" s="9" t="s">
        <v>26</v>
      </c>
      <c r="E776" s="2">
        <v>45599</v>
      </c>
      <c r="F776" t="b">
        <v>1</v>
      </c>
      <c r="G776" t="s">
        <v>723</v>
      </c>
      <c r="H776">
        <v>21</v>
      </c>
      <c r="I776">
        <v>5</v>
      </c>
      <c r="J776">
        <v>6</v>
      </c>
      <c r="K776">
        <v>443</v>
      </c>
      <c r="L776">
        <v>1</v>
      </c>
    </row>
    <row r="777" spans="1:12">
      <c r="A777" t="s">
        <v>805</v>
      </c>
      <c r="B777" s="1">
        <v>45514</v>
      </c>
      <c r="C777" t="s">
        <v>19</v>
      </c>
      <c r="D777" s="9" t="s">
        <v>26</v>
      </c>
      <c r="E777" s="2">
        <v>45597</v>
      </c>
      <c r="F777" t="b">
        <v>1</v>
      </c>
      <c r="G777" t="s">
        <v>723</v>
      </c>
      <c r="H777">
        <v>21</v>
      </c>
      <c r="I777">
        <v>20</v>
      </c>
      <c r="J777">
        <v>1</v>
      </c>
      <c r="K777">
        <v>443</v>
      </c>
      <c r="L777">
        <v>1</v>
      </c>
    </row>
    <row r="778" spans="1:12">
      <c r="A778" t="s">
        <v>806</v>
      </c>
      <c r="B778" s="1">
        <v>45514</v>
      </c>
      <c r="C778" t="s">
        <v>37</v>
      </c>
      <c r="D778" s="9" t="s">
        <v>14</v>
      </c>
      <c r="E778" s="2">
        <v>45581</v>
      </c>
      <c r="F778" t="b">
        <v>0</v>
      </c>
      <c r="G778" t="s">
        <v>723</v>
      </c>
      <c r="H778">
        <v>21</v>
      </c>
      <c r="I778">
        <v>7</v>
      </c>
      <c r="J778">
        <v>4</v>
      </c>
      <c r="K778">
        <v>443</v>
      </c>
      <c r="L778">
        <v>1</v>
      </c>
    </row>
    <row r="779" spans="1:12">
      <c r="A779" t="s">
        <v>807</v>
      </c>
      <c r="B779" s="1">
        <v>45515</v>
      </c>
      <c r="C779" t="s">
        <v>37</v>
      </c>
      <c r="D779" s="9" t="s">
        <v>14</v>
      </c>
      <c r="E779" s="2">
        <v>45629</v>
      </c>
      <c r="F779" t="b">
        <v>0</v>
      </c>
      <c r="G779" t="s">
        <v>723</v>
      </c>
      <c r="H779">
        <v>20</v>
      </c>
      <c r="I779">
        <v>21</v>
      </c>
      <c r="J779">
        <v>2</v>
      </c>
      <c r="K779">
        <v>442</v>
      </c>
      <c r="L779">
        <v>1</v>
      </c>
    </row>
    <row r="780" spans="1:12">
      <c r="A780" t="s">
        <v>808</v>
      </c>
      <c r="B780" s="1">
        <v>45515</v>
      </c>
      <c r="C780" t="s">
        <v>19</v>
      </c>
      <c r="D780" s="9" t="s">
        <v>20</v>
      </c>
      <c r="E780" s="2">
        <v>45605</v>
      </c>
      <c r="F780" t="b">
        <v>1</v>
      </c>
      <c r="G780" t="s">
        <v>723</v>
      </c>
      <c r="H780">
        <v>20</v>
      </c>
      <c r="I780">
        <v>15</v>
      </c>
      <c r="J780">
        <v>5</v>
      </c>
      <c r="K780">
        <v>442</v>
      </c>
      <c r="L780">
        <v>1</v>
      </c>
    </row>
    <row r="781" spans="1:12">
      <c r="A781" t="s">
        <v>809</v>
      </c>
      <c r="B781" s="1">
        <v>45515</v>
      </c>
      <c r="C781" t="s">
        <v>37</v>
      </c>
      <c r="D781" s="9" t="s">
        <v>20</v>
      </c>
      <c r="E781" s="2">
        <v>45611</v>
      </c>
      <c r="F781" t="b">
        <v>1</v>
      </c>
      <c r="G781" t="s">
        <v>723</v>
      </c>
      <c r="H781">
        <v>20</v>
      </c>
      <c r="I781">
        <v>7</v>
      </c>
      <c r="J781">
        <v>10</v>
      </c>
      <c r="K781">
        <v>442</v>
      </c>
      <c r="L781">
        <v>0</v>
      </c>
    </row>
    <row r="782" spans="1:12">
      <c r="A782" t="s">
        <v>810</v>
      </c>
      <c r="B782" s="1">
        <v>45515</v>
      </c>
      <c r="C782" t="s">
        <v>13</v>
      </c>
      <c r="D782" s="9" t="s">
        <v>26</v>
      </c>
      <c r="E782" s="2">
        <v>45605</v>
      </c>
      <c r="F782" t="b">
        <v>1</v>
      </c>
      <c r="G782" t="s">
        <v>723</v>
      </c>
      <c r="H782">
        <v>20</v>
      </c>
      <c r="I782">
        <v>10</v>
      </c>
      <c r="J782">
        <v>1</v>
      </c>
      <c r="K782">
        <v>442</v>
      </c>
      <c r="L782">
        <v>1</v>
      </c>
    </row>
    <row r="783" spans="1:12">
      <c r="A783" t="s">
        <v>811</v>
      </c>
      <c r="B783" s="1">
        <v>45515</v>
      </c>
      <c r="C783" t="s">
        <v>30</v>
      </c>
      <c r="D783" s="9" t="s">
        <v>20</v>
      </c>
      <c r="E783" s="2">
        <v>45613</v>
      </c>
      <c r="F783" t="b">
        <v>0</v>
      </c>
      <c r="G783" t="s">
        <v>723</v>
      </c>
      <c r="H783">
        <v>20</v>
      </c>
      <c r="I783">
        <v>16</v>
      </c>
      <c r="J783">
        <v>2</v>
      </c>
      <c r="K783">
        <v>442</v>
      </c>
      <c r="L783">
        <v>1</v>
      </c>
    </row>
    <row r="784" spans="1:12">
      <c r="A784" t="s">
        <v>812</v>
      </c>
      <c r="B784" s="1">
        <v>45515</v>
      </c>
      <c r="C784" t="s">
        <v>13</v>
      </c>
      <c r="D784" s="9" t="s">
        <v>14</v>
      </c>
      <c r="E784" s="2">
        <v>45613</v>
      </c>
      <c r="F784" t="b">
        <v>0</v>
      </c>
      <c r="G784" t="s">
        <v>723</v>
      </c>
      <c r="H784">
        <v>20</v>
      </c>
      <c r="I784">
        <v>13</v>
      </c>
      <c r="J784">
        <v>2</v>
      </c>
      <c r="K784">
        <v>442</v>
      </c>
      <c r="L784">
        <v>1</v>
      </c>
    </row>
    <row r="785" spans="1:12">
      <c r="A785" t="s">
        <v>813</v>
      </c>
      <c r="B785" s="1">
        <v>45515</v>
      </c>
      <c r="C785" t="s">
        <v>13</v>
      </c>
      <c r="D785" s="9" t="s">
        <v>14</v>
      </c>
      <c r="E785" s="2">
        <v>45632</v>
      </c>
      <c r="F785" t="b">
        <v>1</v>
      </c>
      <c r="G785" t="s">
        <v>723</v>
      </c>
      <c r="H785">
        <v>20</v>
      </c>
      <c r="I785">
        <v>9</v>
      </c>
      <c r="J785">
        <v>5</v>
      </c>
      <c r="K785">
        <v>442</v>
      </c>
      <c r="L785">
        <v>1</v>
      </c>
    </row>
    <row r="786" spans="1:12">
      <c r="A786" t="s">
        <v>814</v>
      </c>
      <c r="B786" s="1">
        <v>45516</v>
      </c>
      <c r="C786" t="s">
        <v>13</v>
      </c>
      <c r="D786" s="9" t="s">
        <v>14</v>
      </c>
      <c r="E786" s="2">
        <v>45644</v>
      </c>
      <c r="F786" t="b">
        <v>0</v>
      </c>
      <c r="G786" t="s">
        <v>723</v>
      </c>
      <c r="H786">
        <v>19</v>
      </c>
      <c r="I786">
        <v>27</v>
      </c>
      <c r="J786">
        <v>1</v>
      </c>
      <c r="K786">
        <v>441</v>
      </c>
      <c r="L786">
        <v>1</v>
      </c>
    </row>
    <row r="787" spans="1:12">
      <c r="A787" t="s">
        <v>815</v>
      </c>
      <c r="B787" s="1">
        <v>45516</v>
      </c>
      <c r="C787" t="s">
        <v>19</v>
      </c>
      <c r="D787" s="9" t="s">
        <v>14</v>
      </c>
      <c r="E787" s="2">
        <v>45662</v>
      </c>
      <c r="F787" t="b">
        <v>0</v>
      </c>
      <c r="G787" t="s">
        <v>723</v>
      </c>
      <c r="H787">
        <v>19</v>
      </c>
      <c r="I787">
        <v>21</v>
      </c>
      <c r="J787">
        <v>4</v>
      </c>
      <c r="K787">
        <v>441</v>
      </c>
      <c r="L787">
        <v>1</v>
      </c>
    </row>
    <row r="788" spans="1:12">
      <c r="A788" t="s">
        <v>816</v>
      </c>
      <c r="B788" s="1">
        <v>45516</v>
      </c>
      <c r="C788" t="s">
        <v>24</v>
      </c>
      <c r="D788" s="9" t="s">
        <v>20</v>
      </c>
      <c r="E788" s="2">
        <v>45662</v>
      </c>
      <c r="F788" t="b">
        <v>1</v>
      </c>
      <c r="G788" t="s">
        <v>723</v>
      </c>
      <c r="H788">
        <v>19</v>
      </c>
      <c r="I788">
        <v>11</v>
      </c>
      <c r="J788">
        <v>5</v>
      </c>
      <c r="K788">
        <v>441</v>
      </c>
      <c r="L788">
        <v>1</v>
      </c>
    </row>
    <row r="789" spans="1:12">
      <c r="A789" t="s">
        <v>817</v>
      </c>
      <c r="B789" s="1">
        <v>45516</v>
      </c>
      <c r="C789" t="s">
        <v>37</v>
      </c>
      <c r="D789" s="9" t="s">
        <v>14</v>
      </c>
      <c r="E789" s="2">
        <v>45641</v>
      </c>
      <c r="F789" t="b">
        <v>0</v>
      </c>
      <c r="G789" t="s">
        <v>723</v>
      </c>
      <c r="H789">
        <v>19</v>
      </c>
      <c r="I789">
        <v>8</v>
      </c>
      <c r="J789">
        <v>5</v>
      </c>
      <c r="K789">
        <v>441</v>
      </c>
      <c r="L789">
        <v>1</v>
      </c>
    </row>
    <row r="790" spans="1:12">
      <c r="A790" t="s">
        <v>818</v>
      </c>
      <c r="B790" s="1">
        <v>45516</v>
      </c>
      <c r="C790" t="s">
        <v>13</v>
      </c>
      <c r="D790" s="9" t="s">
        <v>14</v>
      </c>
      <c r="E790" s="2">
        <v>45661</v>
      </c>
      <c r="F790" t="b">
        <v>0</v>
      </c>
      <c r="G790" t="s">
        <v>723</v>
      </c>
      <c r="H790">
        <v>19</v>
      </c>
      <c r="I790">
        <v>13</v>
      </c>
      <c r="J790">
        <v>3</v>
      </c>
      <c r="K790">
        <v>441</v>
      </c>
      <c r="L790">
        <v>1</v>
      </c>
    </row>
    <row r="791" spans="1:12">
      <c r="A791" t="s">
        <v>819</v>
      </c>
      <c r="B791" s="1">
        <v>45516</v>
      </c>
      <c r="C791" t="s">
        <v>22</v>
      </c>
      <c r="D791" s="9" t="s">
        <v>20</v>
      </c>
      <c r="E791" s="2">
        <v>45652</v>
      </c>
      <c r="F791" t="b">
        <v>1</v>
      </c>
      <c r="G791" t="s">
        <v>723</v>
      </c>
      <c r="H791">
        <v>19</v>
      </c>
      <c r="I791">
        <v>2</v>
      </c>
      <c r="J791">
        <v>4</v>
      </c>
      <c r="K791">
        <v>441</v>
      </c>
      <c r="L791">
        <v>1</v>
      </c>
    </row>
    <row r="792" spans="1:12">
      <c r="A792" t="s">
        <v>820</v>
      </c>
      <c r="B792" s="1">
        <v>45310.387499999997</v>
      </c>
      <c r="C792" t="s">
        <v>13</v>
      </c>
      <c r="D792" s="9" t="s">
        <v>20</v>
      </c>
      <c r="E792" s="2">
        <v>45534</v>
      </c>
      <c r="F792" t="b">
        <v>1</v>
      </c>
      <c r="G792" t="s">
        <v>723</v>
      </c>
      <c r="H792">
        <v>18</v>
      </c>
      <c r="I792">
        <v>1</v>
      </c>
      <c r="J792">
        <v>1</v>
      </c>
      <c r="K792">
        <v>329</v>
      </c>
      <c r="L792">
        <v>2</v>
      </c>
    </row>
    <row r="793" spans="1:12">
      <c r="A793" t="s">
        <v>821</v>
      </c>
      <c r="B793" s="1">
        <v>45614.893750000003</v>
      </c>
      <c r="C793" t="s">
        <v>13</v>
      </c>
      <c r="D793" s="9" t="s">
        <v>14</v>
      </c>
      <c r="E793" s="2">
        <v>45526</v>
      </c>
      <c r="F793" t="b">
        <v>0</v>
      </c>
      <c r="G793" t="s">
        <v>723</v>
      </c>
      <c r="H793">
        <v>18</v>
      </c>
      <c r="I793">
        <v>22</v>
      </c>
      <c r="J793">
        <v>2</v>
      </c>
      <c r="K793">
        <v>635</v>
      </c>
      <c r="L793">
        <v>2</v>
      </c>
    </row>
    <row r="794" spans="1:12">
      <c r="A794" t="s">
        <v>822</v>
      </c>
      <c r="B794" s="1">
        <v>45294.869444444441</v>
      </c>
      <c r="C794" t="s">
        <v>30</v>
      </c>
      <c r="D794" s="9" t="s">
        <v>26</v>
      </c>
      <c r="E794" s="2">
        <v>45519</v>
      </c>
      <c r="F794" t="b">
        <v>1</v>
      </c>
      <c r="G794" t="s">
        <v>723</v>
      </c>
      <c r="H794">
        <v>18</v>
      </c>
      <c r="I794">
        <v>16</v>
      </c>
      <c r="J794">
        <v>1</v>
      </c>
      <c r="K794">
        <v>513</v>
      </c>
      <c r="L794">
        <v>2</v>
      </c>
    </row>
    <row r="795" spans="1:12">
      <c r="A795" t="s">
        <v>823</v>
      </c>
      <c r="B795" s="1">
        <v>45512</v>
      </c>
      <c r="C795" t="s">
        <v>24</v>
      </c>
      <c r="D795" s="9" t="s">
        <v>14</v>
      </c>
      <c r="E795" s="2">
        <v>45522</v>
      </c>
      <c r="F795" t="b">
        <v>1</v>
      </c>
      <c r="G795" t="s">
        <v>723</v>
      </c>
      <c r="H795">
        <v>18</v>
      </c>
      <c r="I795">
        <v>13</v>
      </c>
      <c r="J795">
        <v>1</v>
      </c>
      <c r="K795">
        <v>445</v>
      </c>
      <c r="L795">
        <v>1</v>
      </c>
    </row>
    <row r="796" spans="1:12">
      <c r="A796" t="s">
        <v>824</v>
      </c>
      <c r="B796" s="1">
        <v>45508</v>
      </c>
      <c r="C796" t="s">
        <v>24</v>
      </c>
      <c r="D796" s="9" t="s">
        <v>26</v>
      </c>
      <c r="E796" s="2">
        <v>45515</v>
      </c>
      <c r="F796" t="b">
        <v>0</v>
      </c>
      <c r="G796" t="s">
        <v>723</v>
      </c>
      <c r="H796">
        <v>18</v>
      </c>
      <c r="I796">
        <v>7</v>
      </c>
      <c r="J796">
        <v>2</v>
      </c>
      <c r="K796">
        <v>449</v>
      </c>
      <c r="L796">
        <v>1</v>
      </c>
    </row>
    <row r="797" spans="1:12">
      <c r="A797" t="s">
        <v>825</v>
      </c>
      <c r="B797" s="1">
        <v>45302.375694444447</v>
      </c>
      <c r="C797" t="s">
        <v>30</v>
      </c>
      <c r="D797" s="9" t="s">
        <v>26</v>
      </c>
      <c r="E797" s="2">
        <v>45519</v>
      </c>
      <c r="F797" t="b">
        <v>1</v>
      </c>
      <c r="G797" t="s">
        <v>723</v>
      </c>
      <c r="H797">
        <v>18</v>
      </c>
      <c r="I797">
        <v>16</v>
      </c>
      <c r="J797">
        <v>5</v>
      </c>
      <c r="K797">
        <v>417</v>
      </c>
      <c r="L797">
        <v>2</v>
      </c>
    </row>
    <row r="798" spans="1:12">
      <c r="A798" t="s">
        <v>826</v>
      </c>
      <c r="B798" s="1">
        <v>45556.107638888891</v>
      </c>
      <c r="C798" t="s">
        <v>30</v>
      </c>
      <c r="D798" s="9" t="s">
        <v>26</v>
      </c>
      <c r="E798" s="2">
        <v>45524</v>
      </c>
      <c r="F798" t="b">
        <v>1</v>
      </c>
      <c r="G798" t="s">
        <v>723</v>
      </c>
      <c r="H798">
        <v>18</v>
      </c>
      <c r="I798">
        <v>11</v>
      </c>
      <c r="J798">
        <v>2</v>
      </c>
      <c r="K798">
        <v>655</v>
      </c>
      <c r="L798">
        <v>2</v>
      </c>
    </row>
    <row r="799" spans="1:12">
      <c r="A799" t="s">
        <v>827</v>
      </c>
      <c r="B799" s="1">
        <v>45556.238888888889</v>
      </c>
      <c r="C799" t="s">
        <v>19</v>
      </c>
      <c r="D799" s="9" t="s">
        <v>20</v>
      </c>
      <c r="E799" s="2">
        <v>45509</v>
      </c>
      <c r="F799" t="b">
        <v>0</v>
      </c>
      <c r="G799" t="s">
        <v>723</v>
      </c>
      <c r="H799">
        <v>18</v>
      </c>
      <c r="I799">
        <v>17</v>
      </c>
      <c r="J799">
        <v>7</v>
      </c>
      <c r="K799">
        <v>629</v>
      </c>
      <c r="L799">
        <v>2</v>
      </c>
    </row>
    <row r="800" spans="1:12">
      <c r="A800" t="s">
        <v>828</v>
      </c>
      <c r="B800" s="1">
        <v>45363.45208333333</v>
      </c>
      <c r="C800" t="s">
        <v>13</v>
      </c>
      <c r="D800" s="9" t="s">
        <v>14</v>
      </c>
      <c r="E800" s="2">
        <v>45525</v>
      </c>
      <c r="F800" t="b">
        <v>1</v>
      </c>
      <c r="G800" t="s">
        <v>723</v>
      </c>
      <c r="H800">
        <v>18</v>
      </c>
      <c r="I800">
        <v>10</v>
      </c>
      <c r="J800">
        <v>3</v>
      </c>
      <c r="K800">
        <v>619</v>
      </c>
      <c r="L800">
        <v>2</v>
      </c>
    </row>
    <row r="801" spans="1:12">
      <c r="A801" t="s">
        <v>829</v>
      </c>
      <c r="B801" s="1">
        <v>45449</v>
      </c>
      <c r="C801" t="s">
        <v>24</v>
      </c>
      <c r="D801" s="9" t="s">
        <v>26</v>
      </c>
      <c r="E801" s="2">
        <v>45524</v>
      </c>
      <c r="F801" t="b">
        <v>1</v>
      </c>
      <c r="G801" t="s">
        <v>723</v>
      </c>
      <c r="H801">
        <v>18</v>
      </c>
      <c r="I801">
        <v>11</v>
      </c>
      <c r="J801">
        <v>7</v>
      </c>
      <c r="K801">
        <v>508</v>
      </c>
      <c r="L801">
        <v>1</v>
      </c>
    </row>
    <row r="802" spans="1:12">
      <c r="A802" t="s">
        <v>830</v>
      </c>
      <c r="B802" s="1">
        <v>45352.781944444447</v>
      </c>
      <c r="C802" t="s">
        <v>22</v>
      </c>
      <c r="D802" s="9" t="s">
        <v>14</v>
      </c>
      <c r="E802" s="2">
        <v>45531</v>
      </c>
      <c r="F802" t="b">
        <v>0</v>
      </c>
      <c r="G802" t="s">
        <v>723</v>
      </c>
      <c r="H802">
        <v>18</v>
      </c>
      <c r="I802">
        <v>21</v>
      </c>
      <c r="J802">
        <v>3</v>
      </c>
      <c r="K802">
        <v>460</v>
      </c>
      <c r="L802">
        <v>2</v>
      </c>
    </row>
    <row r="803" spans="1:12">
      <c r="A803" t="s">
        <v>831</v>
      </c>
      <c r="B803" s="1">
        <v>45350.515972222223</v>
      </c>
      <c r="C803" t="s">
        <v>13</v>
      </c>
      <c r="D803" s="9" t="s">
        <v>20</v>
      </c>
      <c r="E803" s="2">
        <v>45526</v>
      </c>
      <c r="F803" t="b">
        <v>1</v>
      </c>
      <c r="G803" t="s">
        <v>723</v>
      </c>
      <c r="H803">
        <v>18</v>
      </c>
      <c r="I803">
        <v>9</v>
      </c>
      <c r="J803">
        <v>3</v>
      </c>
      <c r="K803">
        <v>647</v>
      </c>
      <c r="L803">
        <v>2</v>
      </c>
    </row>
    <row r="804" spans="1:12">
      <c r="A804" t="s">
        <v>832</v>
      </c>
      <c r="B804" s="1">
        <v>45330</v>
      </c>
      <c r="C804" t="s">
        <v>37</v>
      </c>
      <c r="D804" s="9" t="s">
        <v>20</v>
      </c>
      <c r="E804" s="2">
        <v>45530</v>
      </c>
      <c r="F804" t="b">
        <v>1</v>
      </c>
      <c r="G804" t="s">
        <v>723</v>
      </c>
      <c r="H804">
        <v>18</v>
      </c>
      <c r="I804">
        <v>5</v>
      </c>
      <c r="J804">
        <v>8</v>
      </c>
      <c r="K804">
        <v>627</v>
      </c>
      <c r="L804">
        <v>1</v>
      </c>
    </row>
    <row r="805" spans="1:12">
      <c r="A805" t="s">
        <v>833</v>
      </c>
      <c r="B805" s="1">
        <v>45632</v>
      </c>
      <c r="C805" t="s">
        <v>51</v>
      </c>
      <c r="D805" s="9" t="s">
        <v>14</v>
      </c>
      <c r="E805" s="2">
        <v>45521</v>
      </c>
      <c r="F805" t="b">
        <v>0</v>
      </c>
      <c r="G805" t="s">
        <v>723</v>
      </c>
      <c r="H805">
        <v>17</v>
      </c>
      <c r="I805">
        <v>5</v>
      </c>
      <c r="J805">
        <v>2</v>
      </c>
      <c r="K805">
        <v>325</v>
      </c>
      <c r="L805">
        <v>1</v>
      </c>
    </row>
    <row r="806" spans="1:12">
      <c r="A806" t="s">
        <v>834</v>
      </c>
      <c r="B806" s="1">
        <v>45510.709027777775</v>
      </c>
      <c r="C806" t="s">
        <v>13</v>
      </c>
      <c r="D806" s="9" t="s">
        <v>14</v>
      </c>
      <c r="E806" s="2">
        <v>45528</v>
      </c>
      <c r="F806" t="b">
        <v>0</v>
      </c>
      <c r="G806" t="s">
        <v>723</v>
      </c>
      <c r="H806">
        <v>17</v>
      </c>
      <c r="I806">
        <v>5</v>
      </c>
      <c r="J806">
        <v>5</v>
      </c>
      <c r="K806">
        <v>407</v>
      </c>
      <c r="L806">
        <v>2</v>
      </c>
    </row>
    <row r="807" spans="1:12">
      <c r="A807" t="s">
        <v>835</v>
      </c>
      <c r="B807" s="1">
        <v>45332</v>
      </c>
      <c r="C807" t="s">
        <v>13</v>
      </c>
      <c r="D807" s="9" t="s">
        <v>14</v>
      </c>
      <c r="E807" s="2">
        <v>45519</v>
      </c>
      <c r="F807" t="b">
        <v>1</v>
      </c>
      <c r="G807" t="s">
        <v>723</v>
      </c>
      <c r="H807">
        <v>17</v>
      </c>
      <c r="I807">
        <v>16</v>
      </c>
      <c r="J807">
        <v>1</v>
      </c>
      <c r="K807">
        <v>625</v>
      </c>
      <c r="L807">
        <v>1</v>
      </c>
    </row>
    <row r="808" spans="1:12">
      <c r="A808" t="s">
        <v>836</v>
      </c>
      <c r="B808" s="1">
        <v>45631.932638888888</v>
      </c>
      <c r="C808" t="s">
        <v>22</v>
      </c>
      <c r="D808" s="9" t="s">
        <v>14</v>
      </c>
      <c r="E808" s="2">
        <v>45526</v>
      </c>
      <c r="F808" t="b">
        <v>0</v>
      </c>
      <c r="G808" t="s">
        <v>723</v>
      </c>
      <c r="H808">
        <v>17</v>
      </c>
      <c r="I808">
        <v>23</v>
      </c>
      <c r="J808">
        <v>3</v>
      </c>
      <c r="K808">
        <v>596</v>
      </c>
      <c r="L808">
        <v>2</v>
      </c>
    </row>
    <row r="809" spans="1:12">
      <c r="A809" t="s">
        <v>837</v>
      </c>
      <c r="B809" s="1">
        <v>45454.09097222222</v>
      </c>
      <c r="C809" t="s">
        <v>37</v>
      </c>
      <c r="D809" s="9" t="s">
        <v>14</v>
      </c>
      <c r="E809" s="2">
        <v>45526</v>
      </c>
      <c r="F809" t="b">
        <v>0</v>
      </c>
      <c r="G809" t="s">
        <v>723</v>
      </c>
      <c r="H809">
        <v>17</v>
      </c>
      <c r="I809">
        <v>26</v>
      </c>
      <c r="J809">
        <v>2</v>
      </c>
      <c r="K809">
        <v>626</v>
      </c>
      <c r="L809">
        <v>2</v>
      </c>
    </row>
    <row r="810" spans="1:12">
      <c r="A810" t="s">
        <v>838</v>
      </c>
      <c r="B810" s="1">
        <v>45571</v>
      </c>
      <c r="C810" t="s">
        <v>30</v>
      </c>
      <c r="D810" s="9" t="s">
        <v>26</v>
      </c>
      <c r="E810" s="2">
        <v>45527</v>
      </c>
      <c r="F810" t="b">
        <v>1</v>
      </c>
      <c r="G810" t="s">
        <v>723</v>
      </c>
      <c r="H810">
        <v>17</v>
      </c>
      <c r="I810">
        <v>8</v>
      </c>
      <c r="J810">
        <v>3</v>
      </c>
      <c r="K810">
        <v>386</v>
      </c>
      <c r="L810">
        <v>1</v>
      </c>
    </row>
    <row r="811" spans="1:12">
      <c r="A811" t="s">
        <v>839</v>
      </c>
      <c r="B811" s="1">
        <v>45371.061805555553</v>
      </c>
      <c r="C811" t="s">
        <v>51</v>
      </c>
      <c r="D811" s="9" t="s">
        <v>14</v>
      </c>
      <c r="E811" s="2">
        <v>45506</v>
      </c>
      <c r="F811" t="b">
        <v>0</v>
      </c>
      <c r="G811" t="s">
        <v>723</v>
      </c>
      <c r="H811">
        <v>17</v>
      </c>
      <c r="I811">
        <v>6</v>
      </c>
      <c r="J811">
        <v>1</v>
      </c>
      <c r="K811">
        <v>413</v>
      </c>
      <c r="L811">
        <v>2</v>
      </c>
    </row>
    <row r="812" spans="1:12">
      <c r="A812" t="s">
        <v>840</v>
      </c>
      <c r="B812" s="1">
        <v>45324</v>
      </c>
      <c r="C812" t="s">
        <v>13</v>
      </c>
      <c r="D812" s="9" t="s">
        <v>14</v>
      </c>
      <c r="E812" s="2">
        <v>45520</v>
      </c>
      <c r="F812" t="b">
        <v>1</v>
      </c>
      <c r="G812" t="s">
        <v>723</v>
      </c>
      <c r="H812">
        <v>17</v>
      </c>
      <c r="I812">
        <v>15</v>
      </c>
      <c r="J812">
        <v>2</v>
      </c>
      <c r="K812">
        <v>633</v>
      </c>
      <c r="L812">
        <v>1</v>
      </c>
    </row>
    <row r="813" spans="1:12">
      <c r="A813" t="s">
        <v>841</v>
      </c>
      <c r="B813" s="1">
        <v>45603</v>
      </c>
      <c r="C813" t="s">
        <v>30</v>
      </c>
      <c r="D813" s="9" t="s">
        <v>20</v>
      </c>
      <c r="E813" s="2">
        <v>45532</v>
      </c>
      <c r="F813" t="b">
        <v>1</v>
      </c>
      <c r="G813" t="s">
        <v>723</v>
      </c>
      <c r="H813">
        <v>17</v>
      </c>
      <c r="I813">
        <v>3</v>
      </c>
      <c r="J813">
        <v>4</v>
      </c>
      <c r="K813">
        <v>354</v>
      </c>
      <c r="L813">
        <v>1</v>
      </c>
    </row>
    <row r="814" spans="1:12">
      <c r="A814" t="s">
        <v>842</v>
      </c>
      <c r="B814" s="1">
        <v>45630.035416666666</v>
      </c>
      <c r="C814" t="s">
        <v>19</v>
      </c>
      <c r="D814" s="9" t="s">
        <v>26</v>
      </c>
      <c r="E814" s="2">
        <v>45520</v>
      </c>
      <c r="F814" t="b">
        <v>1</v>
      </c>
      <c r="G814" t="s">
        <v>723</v>
      </c>
      <c r="H814">
        <v>17</v>
      </c>
      <c r="I814">
        <v>15</v>
      </c>
      <c r="J814">
        <v>2</v>
      </c>
      <c r="K814">
        <v>483</v>
      </c>
      <c r="L814">
        <v>2</v>
      </c>
    </row>
    <row r="815" spans="1:12">
      <c r="A815" t="s">
        <v>843</v>
      </c>
      <c r="B815" s="1">
        <v>45520.894444444442</v>
      </c>
      <c r="C815" t="s">
        <v>13</v>
      </c>
      <c r="D815" s="9" t="s">
        <v>26</v>
      </c>
      <c r="E815" s="2">
        <v>45523</v>
      </c>
      <c r="F815" t="b">
        <v>1</v>
      </c>
      <c r="G815" t="s">
        <v>723</v>
      </c>
      <c r="H815">
        <v>17</v>
      </c>
      <c r="I815">
        <v>12</v>
      </c>
      <c r="J815">
        <v>3</v>
      </c>
      <c r="K815">
        <v>358</v>
      </c>
      <c r="L815">
        <v>2</v>
      </c>
    </row>
    <row r="816" spans="1:12">
      <c r="A816" t="s">
        <v>844</v>
      </c>
      <c r="B816" s="1">
        <v>45597</v>
      </c>
      <c r="C816" t="s">
        <v>51</v>
      </c>
      <c r="D816" s="9" t="s">
        <v>20</v>
      </c>
      <c r="E816" s="2">
        <v>45531</v>
      </c>
      <c r="F816" t="b">
        <v>1</v>
      </c>
      <c r="G816" t="s">
        <v>723</v>
      </c>
      <c r="H816">
        <v>17</v>
      </c>
      <c r="I816">
        <v>4</v>
      </c>
      <c r="J816">
        <v>8</v>
      </c>
      <c r="K816">
        <v>360</v>
      </c>
      <c r="L816">
        <v>0</v>
      </c>
    </row>
    <row r="817" spans="1:12">
      <c r="A817" t="s">
        <v>845</v>
      </c>
      <c r="B817" s="1">
        <v>45510.820833333331</v>
      </c>
      <c r="C817" t="s">
        <v>13</v>
      </c>
      <c r="D817" s="9" t="s">
        <v>20</v>
      </c>
      <c r="E817" s="2">
        <v>45523</v>
      </c>
      <c r="F817" t="b">
        <v>1</v>
      </c>
      <c r="G817" t="s">
        <v>723</v>
      </c>
      <c r="H817">
        <v>17</v>
      </c>
      <c r="I817">
        <v>12</v>
      </c>
      <c r="J817">
        <v>2</v>
      </c>
      <c r="K817">
        <v>322</v>
      </c>
      <c r="L817">
        <v>2</v>
      </c>
    </row>
    <row r="818" spans="1:12">
      <c r="A818" t="s">
        <v>846</v>
      </c>
      <c r="B818" s="1">
        <v>45361</v>
      </c>
      <c r="C818" t="s">
        <v>37</v>
      </c>
      <c r="D818" s="9" t="s">
        <v>26</v>
      </c>
      <c r="E818" s="2">
        <v>45533</v>
      </c>
      <c r="F818" t="b">
        <v>1</v>
      </c>
      <c r="G818" t="s">
        <v>723</v>
      </c>
      <c r="H818">
        <v>17</v>
      </c>
      <c r="I818">
        <v>2</v>
      </c>
      <c r="J818">
        <v>2</v>
      </c>
      <c r="K818">
        <v>596</v>
      </c>
      <c r="L818">
        <v>1</v>
      </c>
    </row>
    <row r="819" spans="1:12">
      <c r="A819" t="s">
        <v>847</v>
      </c>
      <c r="B819" s="1">
        <v>45355</v>
      </c>
      <c r="C819" t="s">
        <v>30</v>
      </c>
      <c r="D819" s="9" t="s">
        <v>26</v>
      </c>
      <c r="E819" s="2">
        <v>45519</v>
      </c>
      <c r="F819" t="b">
        <v>1</v>
      </c>
      <c r="G819" t="s">
        <v>723</v>
      </c>
      <c r="H819">
        <v>16</v>
      </c>
      <c r="I819">
        <v>16</v>
      </c>
      <c r="J819">
        <v>2</v>
      </c>
      <c r="K819">
        <v>602</v>
      </c>
      <c r="L819">
        <v>1</v>
      </c>
    </row>
    <row r="820" spans="1:12">
      <c r="A820" t="s">
        <v>848</v>
      </c>
      <c r="B820" s="1">
        <v>45454</v>
      </c>
      <c r="C820" t="s">
        <v>30</v>
      </c>
      <c r="D820" s="9" t="s">
        <v>14</v>
      </c>
      <c r="E820" s="2">
        <v>45506</v>
      </c>
      <c r="F820" t="b">
        <v>0</v>
      </c>
      <c r="G820" t="s">
        <v>723</v>
      </c>
      <c r="H820">
        <v>16</v>
      </c>
      <c r="I820">
        <v>29</v>
      </c>
      <c r="J820">
        <v>1</v>
      </c>
      <c r="K820">
        <v>503</v>
      </c>
      <c r="L820">
        <v>1</v>
      </c>
    </row>
    <row r="821" spans="1:12">
      <c r="A821" t="s">
        <v>849</v>
      </c>
      <c r="B821" s="1">
        <v>45506</v>
      </c>
      <c r="C821" t="s">
        <v>33</v>
      </c>
      <c r="D821" s="9" t="s">
        <v>14</v>
      </c>
      <c r="E821" s="2">
        <v>45534</v>
      </c>
      <c r="F821" t="b">
        <v>0</v>
      </c>
      <c r="G821" t="s">
        <v>723</v>
      </c>
      <c r="H821">
        <v>16</v>
      </c>
      <c r="I821">
        <v>20</v>
      </c>
      <c r="J821">
        <v>1</v>
      </c>
      <c r="K821">
        <v>451</v>
      </c>
      <c r="L821">
        <v>1</v>
      </c>
    </row>
    <row r="822" spans="1:12">
      <c r="A822" t="s">
        <v>850</v>
      </c>
      <c r="B822" s="1">
        <v>45554.899305555555</v>
      </c>
      <c r="C822" t="s">
        <v>19</v>
      </c>
      <c r="D822" s="9" t="s">
        <v>14</v>
      </c>
      <c r="E822" s="2">
        <v>45513</v>
      </c>
      <c r="F822" t="b">
        <v>0</v>
      </c>
      <c r="G822" t="s">
        <v>723</v>
      </c>
      <c r="H822">
        <v>16</v>
      </c>
      <c r="I822">
        <v>20</v>
      </c>
      <c r="J822">
        <v>3</v>
      </c>
      <c r="K822">
        <v>350</v>
      </c>
      <c r="L822">
        <v>2</v>
      </c>
    </row>
    <row r="823" spans="1:12">
      <c r="A823" t="s">
        <v>851</v>
      </c>
      <c r="B823" s="1">
        <v>45546.737500000003</v>
      </c>
      <c r="C823" t="s">
        <v>22</v>
      </c>
      <c r="D823" s="9" t="s">
        <v>20</v>
      </c>
      <c r="E823" s="2">
        <v>45521</v>
      </c>
      <c r="F823" t="b">
        <v>1</v>
      </c>
      <c r="G823" t="s">
        <v>723</v>
      </c>
      <c r="H823">
        <v>16</v>
      </c>
      <c r="I823">
        <v>14</v>
      </c>
      <c r="J823">
        <v>5</v>
      </c>
      <c r="K823">
        <v>378</v>
      </c>
      <c r="L823">
        <v>2</v>
      </c>
    </row>
    <row r="824" spans="1:12">
      <c r="A824" t="s">
        <v>852</v>
      </c>
      <c r="B824" s="1">
        <v>45366.573611111111</v>
      </c>
      <c r="C824" t="s">
        <v>13</v>
      </c>
      <c r="D824" s="9" t="s">
        <v>26</v>
      </c>
      <c r="E824" s="2">
        <v>45526</v>
      </c>
      <c r="F824" t="b">
        <v>1</v>
      </c>
      <c r="G824" t="s">
        <v>723</v>
      </c>
      <c r="H824">
        <v>16</v>
      </c>
      <c r="I824">
        <v>9</v>
      </c>
      <c r="J824">
        <v>4</v>
      </c>
      <c r="K824">
        <v>512</v>
      </c>
      <c r="L824">
        <v>2</v>
      </c>
    </row>
    <row r="825" spans="1:12">
      <c r="A825" t="s">
        <v>853</v>
      </c>
      <c r="B825" s="1">
        <v>45630</v>
      </c>
      <c r="C825" t="s">
        <v>30</v>
      </c>
      <c r="D825" s="9" t="s">
        <v>26</v>
      </c>
      <c r="E825" s="2">
        <v>45526</v>
      </c>
      <c r="F825" t="b">
        <v>0</v>
      </c>
      <c r="G825" t="s">
        <v>723</v>
      </c>
      <c r="H825">
        <v>16</v>
      </c>
      <c r="I825">
        <v>11</v>
      </c>
      <c r="J825">
        <v>2</v>
      </c>
      <c r="K825">
        <v>327</v>
      </c>
      <c r="L825">
        <v>1</v>
      </c>
    </row>
    <row r="826" spans="1:12">
      <c r="A826" t="s">
        <v>854</v>
      </c>
      <c r="B826" s="1">
        <v>45587.82708333333</v>
      </c>
      <c r="C826" t="s">
        <v>13</v>
      </c>
      <c r="D826" s="9" t="s">
        <v>14</v>
      </c>
      <c r="E826" s="2">
        <v>45527</v>
      </c>
      <c r="F826" t="b">
        <v>0</v>
      </c>
      <c r="G826" t="s">
        <v>723</v>
      </c>
      <c r="H826">
        <v>16</v>
      </c>
      <c r="I826">
        <v>26</v>
      </c>
      <c r="J826">
        <v>4</v>
      </c>
      <c r="K826">
        <v>591</v>
      </c>
      <c r="L826">
        <v>2</v>
      </c>
    </row>
    <row r="827" spans="1:12">
      <c r="A827" t="s">
        <v>855</v>
      </c>
      <c r="B827" s="1">
        <v>45471.936111111114</v>
      </c>
      <c r="C827" t="s">
        <v>13</v>
      </c>
      <c r="D827" s="9" t="s">
        <v>14</v>
      </c>
      <c r="E827" s="2">
        <v>45532</v>
      </c>
      <c r="F827" t="b">
        <v>1</v>
      </c>
      <c r="G827" t="s">
        <v>723</v>
      </c>
      <c r="H827">
        <v>16</v>
      </c>
      <c r="I827">
        <v>3</v>
      </c>
      <c r="J827">
        <v>3</v>
      </c>
      <c r="K827">
        <v>332</v>
      </c>
      <c r="L827">
        <v>2</v>
      </c>
    </row>
    <row r="828" spans="1:12">
      <c r="A828" t="s">
        <v>856</v>
      </c>
      <c r="B828" s="1">
        <v>45297</v>
      </c>
      <c r="C828" t="s">
        <v>37</v>
      </c>
      <c r="D828" s="9" t="s">
        <v>17</v>
      </c>
      <c r="E828" s="2">
        <v>45527</v>
      </c>
      <c r="F828" t="b">
        <v>1</v>
      </c>
      <c r="G828" t="s">
        <v>723</v>
      </c>
      <c r="H828">
        <v>16</v>
      </c>
      <c r="I828">
        <v>8</v>
      </c>
      <c r="J828">
        <v>5</v>
      </c>
      <c r="K828">
        <v>660</v>
      </c>
      <c r="L828">
        <v>1</v>
      </c>
    </row>
    <row r="829" spans="1:12">
      <c r="A829" t="s">
        <v>857</v>
      </c>
      <c r="B829" s="1">
        <v>45353.493750000001</v>
      </c>
      <c r="C829" t="s">
        <v>37</v>
      </c>
      <c r="D829" s="9" t="s">
        <v>26</v>
      </c>
      <c r="E829" s="2">
        <v>45529</v>
      </c>
      <c r="F829" t="b">
        <v>0</v>
      </c>
      <c r="G829" t="s">
        <v>723</v>
      </c>
      <c r="H829">
        <v>16</v>
      </c>
      <c r="I829">
        <v>26</v>
      </c>
      <c r="J829">
        <v>2</v>
      </c>
      <c r="K829">
        <v>581</v>
      </c>
      <c r="L829">
        <v>2</v>
      </c>
    </row>
    <row r="830" spans="1:12">
      <c r="A830" t="s">
        <v>858</v>
      </c>
      <c r="B830" s="1">
        <v>45453</v>
      </c>
      <c r="C830" t="s">
        <v>37</v>
      </c>
      <c r="D830" s="9" t="s">
        <v>14</v>
      </c>
      <c r="E830" s="2">
        <v>45522</v>
      </c>
      <c r="F830" t="b">
        <v>1</v>
      </c>
      <c r="G830" t="s">
        <v>723</v>
      </c>
      <c r="H830">
        <v>16</v>
      </c>
      <c r="I830">
        <v>13</v>
      </c>
      <c r="J830">
        <v>2</v>
      </c>
      <c r="K830">
        <v>504</v>
      </c>
      <c r="L830">
        <v>1</v>
      </c>
    </row>
    <row r="831" spans="1:12">
      <c r="A831" t="s">
        <v>859</v>
      </c>
      <c r="B831" s="1">
        <v>45597</v>
      </c>
      <c r="C831" t="s">
        <v>24</v>
      </c>
      <c r="D831" s="9" t="s">
        <v>20</v>
      </c>
      <c r="E831" s="2">
        <v>45520</v>
      </c>
      <c r="F831" t="b">
        <v>1</v>
      </c>
      <c r="G831" t="s">
        <v>723</v>
      </c>
      <c r="H831">
        <v>16</v>
      </c>
      <c r="I831">
        <v>15</v>
      </c>
      <c r="J831">
        <v>4</v>
      </c>
      <c r="K831">
        <v>360</v>
      </c>
      <c r="L831">
        <v>1</v>
      </c>
    </row>
    <row r="832" spans="1:12">
      <c r="A832" t="s">
        <v>860</v>
      </c>
      <c r="B832" s="1">
        <v>45583.888888888891</v>
      </c>
      <c r="C832" t="s">
        <v>37</v>
      </c>
      <c r="D832" s="9" t="s">
        <v>20</v>
      </c>
      <c r="E832" s="2">
        <v>45524</v>
      </c>
      <c r="F832" t="b">
        <v>1</v>
      </c>
      <c r="G832" t="s">
        <v>723</v>
      </c>
      <c r="H832">
        <v>15</v>
      </c>
      <c r="I832">
        <v>11</v>
      </c>
      <c r="J832">
        <v>2</v>
      </c>
      <c r="K832">
        <v>638</v>
      </c>
      <c r="L832">
        <v>2</v>
      </c>
    </row>
    <row r="833" spans="1:12">
      <c r="A833" t="s">
        <v>861</v>
      </c>
      <c r="B833" s="1">
        <v>45355</v>
      </c>
      <c r="C833" t="s">
        <v>22</v>
      </c>
      <c r="D833" s="9" t="s">
        <v>14</v>
      </c>
      <c r="E833" s="2">
        <v>45518</v>
      </c>
      <c r="F833" t="b">
        <v>0</v>
      </c>
      <c r="G833" t="s">
        <v>723</v>
      </c>
      <c r="H833">
        <v>15</v>
      </c>
      <c r="I833">
        <v>3</v>
      </c>
      <c r="J833">
        <v>3</v>
      </c>
      <c r="K833">
        <v>602</v>
      </c>
      <c r="L833">
        <v>1</v>
      </c>
    </row>
    <row r="834" spans="1:12">
      <c r="A834" t="s">
        <v>862</v>
      </c>
      <c r="B834" s="1">
        <v>45629.72152777778</v>
      </c>
      <c r="C834" t="s">
        <v>24</v>
      </c>
      <c r="D834" s="9" t="s">
        <v>26</v>
      </c>
      <c r="E834" s="2">
        <v>45528</v>
      </c>
      <c r="F834" t="b">
        <v>1</v>
      </c>
      <c r="G834" t="s">
        <v>723</v>
      </c>
      <c r="H834">
        <v>15</v>
      </c>
      <c r="I834">
        <v>7</v>
      </c>
      <c r="J834">
        <v>3</v>
      </c>
      <c r="K834">
        <v>568</v>
      </c>
      <c r="L834">
        <v>2</v>
      </c>
    </row>
    <row r="835" spans="1:12">
      <c r="A835" t="s">
        <v>863</v>
      </c>
      <c r="B835" s="1">
        <v>45628</v>
      </c>
      <c r="C835" t="s">
        <v>37</v>
      </c>
      <c r="D835" s="9" t="s">
        <v>14</v>
      </c>
      <c r="E835" s="2">
        <v>45530</v>
      </c>
      <c r="F835" t="b">
        <v>0</v>
      </c>
      <c r="G835" t="s">
        <v>723</v>
      </c>
      <c r="H835">
        <v>15</v>
      </c>
      <c r="I835">
        <v>4</v>
      </c>
      <c r="J835">
        <v>1</v>
      </c>
      <c r="K835">
        <v>329</v>
      </c>
      <c r="L835">
        <v>1</v>
      </c>
    </row>
    <row r="836" spans="1:12">
      <c r="A836" t="s">
        <v>864</v>
      </c>
      <c r="B836" s="1">
        <v>45317.741666666669</v>
      </c>
      <c r="C836" t="s">
        <v>37</v>
      </c>
      <c r="D836" s="9" t="s">
        <v>26</v>
      </c>
      <c r="E836" s="2">
        <v>45533</v>
      </c>
      <c r="F836" t="b">
        <v>1</v>
      </c>
      <c r="G836" t="s">
        <v>723</v>
      </c>
      <c r="H836">
        <v>15</v>
      </c>
      <c r="I836">
        <v>2</v>
      </c>
      <c r="J836">
        <v>4</v>
      </c>
      <c r="K836">
        <v>651</v>
      </c>
      <c r="L836">
        <v>2</v>
      </c>
    </row>
    <row r="837" spans="1:12">
      <c r="A837" t="s">
        <v>865</v>
      </c>
      <c r="B837" s="1">
        <v>45568.592361111114</v>
      </c>
      <c r="C837" t="s">
        <v>37</v>
      </c>
      <c r="D837" s="9" t="s">
        <v>26</v>
      </c>
      <c r="E837" s="2">
        <v>45528</v>
      </c>
      <c r="F837" t="b">
        <v>0</v>
      </c>
      <c r="G837" t="s">
        <v>723</v>
      </c>
      <c r="H837">
        <v>15</v>
      </c>
      <c r="I837">
        <v>7</v>
      </c>
      <c r="J837">
        <v>1</v>
      </c>
      <c r="K837">
        <v>387</v>
      </c>
      <c r="L837">
        <v>2</v>
      </c>
    </row>
    <row r="838" spans="1:12">
      <c r="A838" t="s">
        <v>866</v>
      </c>
      <c r="B838" s="1">
        <v>45447</v>
      </c>
      <c r="C838" t="s">
        <v>13</v>
      </c>
      <c r="D838" s="9" t="s">
        <v>20</v>
      </c>
      <c r="E838" s="2">
        <v>45532</v>
      </c>
      <c r="F838" t="b">
        <v>1</v>
      </c>
      <c r="G838" t="s">
        <v>723</v>
      </c>
      <c r="H838">
        <v>15</v>
      </c>
      <c r="I838">
        <v>3</v>
      </c>
      <c r="J838">
        <v>6</v>
      </c>
      <c r="K838">
        <v>510</v>
      </c>
      <c r="L838">
        <v>1</v>
      </c>
    </row>
    <row r="839" spans="1:12">
      <c r="A839" t="s">
        <v>867</v>
      </c>
      <c r="B839" s="1">
        <v>45543</v>
      </c>
      <c r="C839" t="s">
        <v>22</v>
      </c>
      <c r="D839" s="9" t="s">
        <v>14</v>
      </c>
      <c r="E839" s="2">
        <v>45510</v>
      </c>
      <c r="F839" t="b">
        <v>0</v>
      </c>
      <c r="G839" t="s">
        <v>723</v>
      </c>
      <c r="H839">
        <v>15</v>
      </c>
      <c r="I839">
        <v>5</v>
      </c>
      <c r="J839">
        <v>1</v>
      </c>
      <c r="K839">
        <v>414</v>
      </c>
      <c r="L839">
        <v>1</v>
      </c>
    </row>
    <row r="840" spans="1:12">
      <c r="A840" t="s">
        <v>868</v>
      </c>
      <c r="B840" s="1">
        <v>45385</v>
      </c>
      <c r="C840" t="s">
        <v>13</v>
      </c>
      <c r="D840" s="9" t="s">
        <v>20</v>
      </c>
      <c r="E840" s="2">
        <v>45527</v>
      </c>
      <c r="F840" t="b">
        <v>1</v>
      </c>
      <c r="G840" t="s">
        <v>723</v>
      </c>
      <c r="H840">
        <v>14</v>
      </c>
      <c r="I840">
        <v>8</v>
      </c>
      <c r="J840">
        <v>6</v>
      </c>
      <c r="K840">
        <v>572</v>
      </c>
      <c r="L840">
        <v>1</v>
      </c>
    </row>
    <row r="841" spans="1:12">
      <c r="A841" t="s">
        <v>869</v>
      </c>
      <c r="B841" s="1">
        <v>45617.347916666666</v>
      </c>
      <c r="C841" t="s">
        <v>30</v>
      </c>
      <c r="D841" s="9" t="s">
        <v>26</v>
      </c>
      <c r="E841" s="2">
        <v>45522</v>
      </c>
      <c r="F841" t="b">
        <v>1</v>
      </c>
      <c r="G841" t="s">
        <v>723</v>
      </c>
      <c r="H841">
        <v>14</v>
      </c>
      <c r="I841">
        <v>13</v>
      </c>
      <c r="J841">
        <v>0</v>
      </c>
      <c r="K841">
        <v>352</v>
      </c>
      <c r="L841">
        <v>2</v>
      </c>
    </row>
    <row r="842" spans="1:12">
      <c r="A842" t="s">
        <v>870</v>
      </c>
      <c r="B842" s="1">
        <v>45327</v>
      </c>
      <c r="C842" t="s">
        <v>13</v>
      </c>
      <c r="D842" s="9" t="s">
        <v>14</v>
      </c>
      <c r="E842" s="2">
        <v>45505</v>
      </c>
      <c r="F842" t="b">
        <v>0</v>
      </c>
      <c r="G842" t="s">
        <v>723</v>
      </c>
      <c r="H842">
        <v>14</v>
      </c>
      <c r="I842">
        <v>7</v>
      </c>
      <c r="J842">
        <v>3</v>
      </c>
      <c r="K842">
        <v>630</v>
      </c>
      <c r="L842">
        <v>1</v>
      </c>
    </row>
    <row r="843" spans="1:12">
      <c r="A843" t="s">
        <v>871</v>
      </c>
      <c r="B843" s="1">
        <v>45329.87222222222</v>
      </c>
      <c r="C843" t="s">
        <v>37</v>
      </c>
      <c r="D843" s="9" t="s">
        <v>20</v>
      </c>
      <c r="E843" s="2">
        <v>45524</v>
      </c>
      <c r="F843" t="b">
        <v>1</v>
      </c>
      <c r="G843" t="s">
        <v>723</v>
      </c>
      <c r="H843">
        <v>14</v>
      </c>
      <c r="I843">
        <v>11</v>
      </c>
      <c r="J843">
        <v>3</v>
      </c>
      <c r="K843">
        <v>493</v>
      </c>
      <c r="L843">
        <v>2</v>
      </c>
    </row>
    <row r="844" spans="1:12">
      <c r="A844" t="s">
        <v>872</v>
      </c>
      <c r="B844" s="1">
        <v>45414.984027777777</v>
      </c>
      <c r="C844" t="s">
        <v>30</v>
      </c>
      <c r="D844" s="9" t="s">
        <v>20</v>
      </c>
      <c r="E844" s="2">
        <v>45523</v>
      </c>
      <c r="F844" t="b">
        <v>1</v>
      </c>
      <c r="G844" t="s">
        <v>723</v>
      </c>
      <c r="H844">
        <v>14</v>
      </c>
      <c r="I844">
        <v>12</v>
      </c>
      <c r="J844">
        <v>21</v>
      </c>
      <c r="K844">
        <v>417</v>
      </c>
      <c r="L844">
        <v>0</v>
      </c>
    </row>
    <row r="845" spans="1:12">
      <c r="A845" t="s">
        <v>873</v>
      </c>
      <c r="B845" s="1">
        <v>45632</v>
      </c>
      <c r="C845" t="s">
        <v>51</v>
      </c>
      <c r="D845" s="9" t="s">
        <v>20</v>
      </c>
      <c r="E845" s="2">
        <v>45528</v>
      </c>
      <c r="F845" t="b">
        <v>1</v>
      </c>
      <c r="G845" t="s">
        <v>723</v>
      </c>
      <c r="H845">
        <v>14</v>
      </c>
      <c r="I845">
        <v>7</v>
      </c>
      <c r="J845">
        <v>4</v>
      </c>
      <c r="K845">
        <v>325</v>
      </c>
      <c r="L845">
        <v>1</v>
      </c>
    </row>
    <row r="846" spans="1:12">
      <c r="A846" t="s">
        <v>874</v>
      </c>
      <c r="B846" s="1">
        <v>45311.906944444447</v>
      </c>
      <c r="C846" t="s">
        <v>13</v>
      </c>
      <c r="D846" s="9" t="s">
        <v>17</v>
      </c>
      <c r="E846" s="2">
        <v>45527</v>
      </c>
      <c r="F846" t="b">
        <v>1</v>
      </c>
      <c r="G846" t="s">
        <v>723</v>
      </c>
      <c r="H846">
        <v>13</v>
      </c>
      <c r="I846">
        <v>8</v>
      </c>
      <c r="J846">
        <v>12</v>
      </c>
      <c r="K846">
        <v>612</v>
      </c>
      <c r="L846">
        <v>0</v>
      </c>
    </row>
    <row r="847" spans="1:12">
      <c r="A847" t="s">
        <v>875</v>
      </c>
      <c r="B847" s="1">
        <v>45485</v>
      </c>
      <c r="C847" t="s">
        <v>33</v>
      </c>
      <c r="D847" s="9" t="s">
        <v>14</v>
      </c>
      <c r="E847" s="2">
        <v>45526</v>
      </c>
      <c r="F847" t="b">
        <v>0</v>
      </c>
      <c r="G847" t="s">
        <v>723</v>
      </c>
      <c r="H847">
        <v>13</v>
      </c>
      <c r="I847">
        <v>11</v>
      </c>
      <c r="J847">
        <v>4</v>
      </c>
      <c r="K847">
        <v>472</v>
      </c>
      <c r="L847">
        <v>1</v>
      </c>
    </row>
    <row r="848" spans="1:12">
      <c r="A848" t="s">
        <v>876</v>
      </c>
      <c r="B848" s="1">
        <v>45552.298611111109</v>
      </c>
      <c r="C848" t="s">
        <v>37</v>
      </c>
      <c r="D848" s="9" t="s">
        <v>26</v>
      </c>
      <c r="E848" s="2">
        <v>45530</v>
      </c>
      <c r="F848" t="b">
        <v>1</v>
      </c>
      <c r="G848" t="s">
        <v>723</v>
      </c>
      <c r="H848">
        <v>13</v>
      </c>
      <c r="I848">
        <v>5</v>
      </c>
      <c r="J848">
        <v>2</v>
      </c>
      <c r="K848">
        <v>439</v>
      </c>
      <c r="L848">
        <v>2</v>
      </c>
    </row>
    <row r="849" spans="1:12">
      <c r="A849" t="s">
        <v>877</v>
      </c>
      <c r="B849" s="1">
        <v>45389</v>
      </c>
      <c r="C849" t="s">
        <v>13</v>
      </c>
      <c r="D849" s="9" t="s">
        <v>26</v>
      </c>
      <c r="E849" s="2">
        <v>45517</v>
      </c>
      <c r="F849" t="b">
        <v>0</v>
      </c>
      <c r="G849" t="s">
        <v>723</v>
      </c>
      <c r="H849">
        <v>13</v>
      </c>
      <c r="I849">
        <v>4</v>
      </c>
      <c r="J849">
        <v>4</v>
      </c>
      <c r="K849">
        <v>568</v>
      </c>
      <c r="L849">
        <v>1</v>
      </c>
    </row>
    <row r="850" spans="1:12">
      <c r="A850" t="s">
        <v>878</v>
      </c>
      <c r="B850" s="1">
        <v>45630.084027777775</v>
      </c>
      <c r="C850" t="s">
        <v>33</v>
      </c>
      <c r="D850" s="9" t="s">
        <v>14</v>
      </c>
      <c r="E850" s="2">
        <v>45530</v>
      </c>
      <c r="F850" t="b">
        <v>0</v>
      </c>
      <c r="G850" t="s">
        <v>723</v>
      </c>
      <c r="H850">
        <v>13</v>
      </c>
      <c r="I850">
        <v>10</v>
      </c>
      <c r="J850">
        <v>2</v>
      </c>
      <c r="K850">
        <v>407</v>
      </c>
      <c r="L850">
        <v>2</v>
      </c>
    </row>
    <row r="851" spans="1:12">
      <c r="A851" t="s">
        <v>879</v>
      </c>
      <c r="B851" s="1">
        <v>45419</v>
      </c>
      <c r="C851" t="s">
        <v>30</v>
      </c>
      <c r="D851" s="9" t="s">
        <v>26</v>
      </c>
      <c r="E851" s="2">
        <v>45527</v>
      </c>
      <c r="F851" t="b">
        <v>1</v>
      </c>
      <c r="G851" t="s">
        <v>723</v>
      </c>
      <c r="H851">
        <v>13</v>
      </c>
      <c r="I851">
        <v>8</v>
      </c>
      <c r="J851">
        <v>2</v>
      </c>
      <c r="K851">
        <v>538</v>
      </c>
      <c r="L851">
        <v>1</v>
      </c>
    </row>
    <row r="852" spans="1:12">
      <c r="A852" t="s">
        <v>880</v>
      </c>
      <c r="B852" s="1">
        <v>45575.473611111112</v>
      </c>
      <c r="C852" t="s">
        <v>19</v>
      </c>
      <c r="D852" s="9" t="s">
        <v>14</v>
      </c>
      <c r="E852" s="2">
        <v>45525</v>
      </c>
      <c r="F852" t="b">
        <v>0</v>
      </c>
      <c r="G852" t="s">
        <v>723</v>
      </c>
      <c r="H852">
        <v>13</v>
      </c>
      <c r="I852">
        <v>18</v>
      </c>
      <c r="J852">
        <v>2</v>
      </c>
      <c r="K852">
        <v>426</v>
      </c>
      <c r="L852">
        <v>2</v>
      </c>
    </row>
    <row r="853" spans="1:12">
      <c r="A853" t="s">
        <v>881</v>
      </c>
      <c r="B853" s="1">
        <v>45329.55972222222</v>
      </c>
      <c r="C853" t="s">
        <v>33</v>
      </c>
      <c r="D853" s="9" t="s">
        <v>26</v>
      </c>
      <c r="E853" s="2">
        <v>45524</v>
      </c>
      <c r="F853" t="b">
        <v>1</v>
      </c>
      <c r="G853" t="s">
        <v>723</v>
      </c>
      <c r="H853">
        <v>13</v>
      </c>
      <c r="I853">
        <v>11</v>
      </c>
      <c r="J853">
        <v>5</v>
      </c>
      <c r="K853">
        <v>413</v>
      </c>
      <c r="L853">
        <v>2</v>
      </c>
    </row>
    <row r="854" spans="1:12">
      <c r="A854" t="s">
        <v>882</v>
      </c>
      <c r="B854" s="1">
        <v>45535.472222222219</v>
      </c>
      <c r="C854" t="s">
        <v>30</v>
      </c>
      <c r="D854" s="9" t="s">
        <v>26</v>
      </c>
      <c r="E854" s="2">
        <v>45520</v>
      </c>
      <c r="F854" t="b">
        <v>0</v>
      </c>
      <c r="G854" t="s">
        <v>723</v>
      </c>
      <c r="H854">
        <v>13</v>
      </c>
      <c r="I854">
        <v>19</v>
      </c>
      <c r="J854">
        <v>1</v>
      </c>
      <c r="K854">
        <v>454</v>
      </c>
      <c r="L854">
        <v>2</v>
      </c>
    </row>
    <row r="855" spans="1:12">
      <c r="A855" t="s">
        <v>883</v>
      </c>
      <c r="B855" s="1">
        <v>45578.284722222219</v>
      </c>
      <c r="C855" t="s">
        <v>13</v>
      </c>
      <c r="D855" s="9" t="s">
        <v>17</v>
      </c>
      <c r="E855" s="2">
        <v>45533</v>
      </c>
      <c r="F855" t="b">
        <v>1</v>
      </c>
      <c r="G855" t="s">
        <v>723</v>
      </c>
      <c r="H855">
        <v>12</v>
      </c>
      <c r="I855">
        <v>2</v>
      </c>
      <c r="J855">
        <v>8</v>
      </c>
      <c r="K855">
        <v>336</v>
      </c>
      <c r="L855">
        <v>2</v>
      </c>
    </row>
    <row r="856" spans="1:12">
      <c r="A856" t="s">
        <v>884</v>
      </c>
      <c r="B856" s="1">
        <v>45549.404861111114</v>
      </c>
      <c r="C856" t="s">
        <v>13</v>
      </c>
      <c r="D856" s="9" t="s">
        <v>14</v>
      </c>
      <c r="E856" s="2">
        <v>45518</v>
      </c>
      <c r="F856" t="b">
        <v>0</v>
      </c>
      <c r="G856" t="s">
        <v>723</v>
      </c>
      <c r="H856">
        <v>12</v>
      </c>
      <c r="I856">
        <v>3</v>
      </c>
      <c r="J856">
        <v>4</v>
      </c>
      <c r="K856">
        <v>433</v>
      </c>
      <c r="L856">
        <v>2</v>
      </c>
    </row>
    <row r="857" spans="1:12">
      <c r="A857" t="s">
        <v>885</v>
      </c>
      <c r="B857" s="1">
        <v>45331</v>
      </c>
      <c r="C857" t="s">
        <v>13</v>
      </c>
      <c r="D857" s="9" t="s">
        <v>26</v>
      </c>
      <c r="E857" s="2">
        <v>45534</v>
      </c>
      <c r="F857" t="b">
        <v>1</v>
      </c>
      <c r="G857" t="s">
        <v>723</v>
      </c>
      <c r="H857">
        <v>12</v>
      </c>
      <c r="I857">
        <v>1</v>
      </c>
      <c r="J857">
        <v>2</v>
      </c>
      <c r="K857">
        <v>626</v>
      </c>
      <c r="L857">
        <v>1</v>
      </c>
    </row>
    <row r="858" spans="1:12">
      <c r="A858" t="s">
        <v>886</v>
      </c>
      <c r="B858" s="1">
        <v>45470.884027777778</v>
      </c>
      <c r="C858" t="s">
        <v>13</v>
      </c>
      <c r="D858" s="9" t="s">
        <v>14</v>
      </c>
      <c r="E858" s="2">
        <v>45524</v>
      </c>
      <c r="F858" t="b">
        <v>0</v>
      </c>
      <c r="G858" t="s">
        <v>723</v>
      </c>
      <c r="H858">
        <v>12</v>
      </c>
      <c r="I858">
        <v>12</v>
      </c>
      <c r="J858">
        <v>3</v>
      </c>
      <c r="K858">
        <v>583</v>
      </c>
      <c r="L858">
        <v>2</v>
      </c>
    </row>
    <row r="859" spans="1:12">
      <c r="A859" t="s">
        <v>887</v>
      </c>
      <c r="B859" s="1">
        <v>45511</v>
      </c>
      <c r="C859" t="s">
        <v>33</v>
      </c>
      <c r="D859" s="9" t="s">
        <v>14</v>
      </c>
      <c r="E859" s="2">
        <v>45513</v>
      </c>
      <c r="F859" t="b">
        <v>0</v>
      </c>
      <c r="G859" t="s">
        <v>723</v>
      </c>
      <c r="H859">
        <v>12</v>
      </c>
      <c r="I859">
        <v>4</v>
      </c>
      <c r="J859">
        <v>2</v>
      </c>
      <c r="K859">
        <v>446</v>
      </c>
      <c r="L859">
        <v>1</v>
      </c>
    </row>
    <row r="860" spans="1:12">
      <c r="A860" t="s">
        <v>888</v>
      </c>
      <c r="B860" s="1">
        <v>45523.992361111108</v>
      </c>
      <c r="C860" t="s">
        <v>22</v>
      </c>
      <c r="D860" s="9" t="s">
        <v>14</v>
      </c>
      <c r="E860" s="2">
        <v>45509</v>
      </c>
      <c r="F860" t="b">
        <v>0</v>
      </c>
      <c r="G860" t="s">
        <v>723</v>
      </c>
      <c r="H860">
        <v>12</v>
      </c>
      <c r="I860">
        <v>5</v>
      </c>
      <c r="J860">
        <v>1</v>
      </c>
      <c r="K860">
        <v>540</v>
      </c>
      <c r="L860">
        <v>2</v>
      </c>
    </row>
    <row r="861" spans="1:12">
      <c r="A861" t="s">
        <v>889</v>
      </c>
      <c r="B861" s="1">
        <v>45559.951388888891</v>
      </c>
      <c r="C861" t="s">
        <v>37</v>
      </c>
      <c r="D861" s="9" t="s">
        <v>26</v>
      </c>
      <c r="E861" s="2">
        <v>45515</v>
      </c>
      <c r="F861" t="b">
        <v>0</v>
      </c>
      <c r="G861" t="s">
        <v>723</v>
      </c>
      <c r="H861">
        <v>12</v>
      </c>
      <c r="I861">
        <v>18</v>
      </c>
      <c r="J861">
        <v>2</v>
      </c>
      <c r="K861">
        <v>598</v>
      </c>
      <c r="L861">
        <v>2</v>
      </c>
    </row>
    <row r="862" spans="1:12">
      <c r="A862" t="s">
        <v>890</v>
      </c>
      <c r="B862" s="1">
        <v>45559.295138888891</v>
      </c>
      <c r="C862" t="s">
        <v>33</v>
      </c>
      <c r="D862" s="9" t="s">
        <v>26</v>
      </c>
      <c r="E862" s="2">
        <v>45530</v>
      </c>
      <c r="F862" t="b">
        <v>1</v>
      </c>
      <c r="G862" t="s">
        <v>723</v>
      </c>
      <c r="H862">
        <v>12</v>
      </c>
      <c r="I862">
        <v>5</v>
      </c>
      <c r="J862">
        <v>8</v>
      </c>
      <c r="K862">
        <v>410</v>
      </c>
      <c r="L862">
        <v>2</v>
      </c>
    </row>
    <row r="863" spans="1:12">
      <c r="A863" t="s">
        <v>891</v>
      </c>
      <c r="B863" s="1">
        <v>45348.006944444445</v>
      </c>
      <c r="C863" t="s">
        <v>19</v>
      </c>
      <c r="D863" s="9" t="s">
        <v>14</v>
      </c>
      <c r="E863" s="2">
        <v>45506</v>
      </c>
      <c r="F863" t="b">
        <v>0</v>
      </c>
      <c r="G863" t="s">
        <v>723</v>
      </c>
      <c r="H863">
        <v>12</v>
      </c>
      <c r="I863">
        <v>8</v>
      </c>
      <c r="J863">
        <v>1</v>
      </c>
      <c r="K863">
        <v>572</v>
      </c>
      <c r="L863">
        <v>2</v>
      </c>
    </row>
    <row r="864" spans="1:12">
      <c r="A864" t="s">
        <v>892</v>
      </c>
      <c r="B864" s="1">
        <v>45363</v>
      </c>
      <c r="C864" t="s">
        <v>13</v>
      </c>
      <c r="D864" s="9" t="s">
        <v>14</v>
      </c>
      <c r="E864" s="2">
        <v>45519</v>
      </c>
      <c r="F864" t="b">
        <v>0</v>
      </c>
      <c r="G864" t="s">
        <v>723</v>
      </c>
      <c r="H864">
        <v>12</v>
      </c>
      <c r="I864">
        <v>25</v>
      </c>
      <c r="J864">
        <v>2</v>
      </c>
      <c r="K864">
        <v>594</v>
      </c>
      <c r="L864">
        <v>1</v>
      </c>
    </row>
    <row r="865" spans="1:12">
      <c r="A865" t="s">
        <v>893</v>
      </c>
      <c r="B865" s="1">
        <v>45346.654166666667</v>
      </c>
      <c r="C865" t="s">
        <v>37</v>
      </c>
      <c r="D865" s="9" t="s">
        <v>26</v>
      </c>
      <c r="E865" s="2">
        <v>45533</v>
      </c>
      <c r="F865" t="b">
        <v>0</v>
      </c>
      <c r="G865" t="s">
        <v>723</v>
      </c>
      <c r="H865">
        <v>12</v>
      </c>
      <c r="I865">
        <v>14</v>
      </c>
      <c r="J865">
        <v>2</v>
      </c>
      <c r="K865">
        <v>483</v>
      </c>
      <c r="L865">
        <v>2</v>
      </c>
    </row>
    <row r="866" spans="1:12">
      <c r="A866" t="s">
        <v>894</v>
      </c>
      <c r="B866" s="1">
        <v>45433.097222222219</v>
      </c>
      <c r="C866" t="s">
        <v>37</v>
      </c>
      <c r="D866" s="9" t="s">
        <v>14</v>
      </c>
      <c r="E866" s="2">
        <v>45531</v>
      </c>
      <c r="F866" t="b">
        <v>0</v>
      </c>
      <c r="G866" t="s">
        <v>723</v>
      </c>
      <c r="H866">
        <v>11</v>
      </c>
      <c r="I866">
        <v>2</v>
      </c>
      <c r="J866">
        <v>1</v>
      </c>
      <c r="K866">
        <v>337</v>
      </c>
      <c r="L866">
        <v>2</v>
      </c>
    </row>
    <row r="867" spans="1:12">
      <c r="A867" t="s">
        <v>895</v>
      </c>
      <c r="B867" s="1">
        <v>45515</v>
      </c>
      <c r="C867" t="s">
        <v>37</v>
      </c>
      <c r="D867" s="9" t="s">
        <v>26</v>
      </c>
      <c r="E867" s="2">
        <v>45527</v>
      </c>
      <c r="F867" t="b">
        <v>1</v>
      </c>
      <c r="G867" t="s">
        <v>723</v>
      </c>
      <c r="H867">
        <v>11</v>
      </c>
      <c r="I867">
        <v>8</v>
      </c>
      <c r="J867">
        <v>1</v>
      </c>
      <c r="K867">
        <v>442</v>
      </c>
      <c r="L867">
        <v>1</v>
      </c>
    </row>
    <row r="868" spans="1:12">
      <c r="A868" t="s">
        <v>896</v>
      </c>
      <c r="B868" s="1">
        <v>45604.877083333333</v>
      </c>
      <c r="C868" t="s">
        <v>22</v>
      </c>
      <c r="D868" s="9" t="s">
        <v>20</v>
      </c>
      <c r="E868" s="2">
        <v>45525</v>
      </c>
      <c r="F868" t="b">
        <v>1</v>
      </c>
      <c r="G868" t="s">
        <v>723</v>
      </c>
      <c r="H868">
        <v>11</v>
      </c>
      <c r="I868">
        <v>10</v>
      </c>
      <c r="J868">
        <v>8</v>
      </c>
      <c r="K868">
        <v>544</v>
      </c>
      <c r="L868">
        <v>2</v>
      </c>
    </row>
    <row r="869" spans="1:12">
      <c r="A869" t="s">
        <v>897</v>
      </c>
      <c r="B869" s="1">
        <v>45393</v>
      </c>
      <c r="C869" t="s">
        <v>13</v>
      </c>
      <c r="D869" s="9" t="s">
        <v>14</v>
      </c>
      <c r="E869" s="2">
        <v>45517</v>
      </c>
      <c r="F869" t="b">
        <v>0</v>
      </c>
      <c r="G869" t="s">
        <v>723</v>
      </c>
      <c r="H869">
        <v>11</v>
      </c>
      <c r="I869">
        <v>24</v>
      </c>
      <c r="J869">
        <v>5</v>
      </c>
      <c r="K869">
        <v>564</v>
      </c>
      <c r="L869">
        <v>1</v>
      </c>
    </row>
    <row r="870" spans="1:12">
      <c r="A870" t="s">
        <v>898</v>
      </c>
      <c r="B870" s="1">
        <v>45467.922222222223</v>
      </c>
      <c r="C870" t="s">
        <v>13</v>
      </c>
      <c r="D870" s="9" t="s">
        <v>14</v>
      </c>
      <c r="E870" s="2">
        <v>45531</v>
      </c>
      <c r="F870" t="b">
        <v>1</v>
      </c>
      <c r="G870" t="s">
        <v>723</v>
      </c>
      <c r="H870">
        <v>11</v>
      </c>
      <c r="I870">
        <v>4</v>
      </c>
      <c r="J870">
        <v>0</v>
      </c>
      <c r="K870">
        <v>461</v>
      </c>
      <c r="L870">
        <v>2</v>
      </c>
    </row>
    <row r="871" spans="1:12">
      <c r="A871" t="s">
        <v>899</v>
      </c>
      <c r="B871" s="1">
        <v>45450.011805555558</v>
      </c>
      <c r="C871" t="s">
        <v>37</v>
      </c>
      <c r="D871" s="9" t="s">
        <v>26</v>
      </c>
      <c r="E871" s="2">
        <v>45527</v>
      </c>
      <c r="F871" t="b">
        <v>1</v>
      </c>
      <c r="G871" t="s">
        <v>723</v>
      </c>
      <c r="H871">
        <v>11</v>
      </c>
      <c r="I871">
        <v>8</v>
      </c>
      <c r="J871">
        <v>3</v>
      </c>
      <c r="K871">
        <v>350</v>
      </c>
      <c r="L871">
        <v>2</v>
      </c>
    </row>
    <row r="872" spans="1:12">
      <c r="A872" t="s">
        <v>900</v>
      </c>
      <c r="B872" s="1">
        <v>45321.375</v>
      </c>
      <c r="C872" t="s">
        <v>33</v>
      </c>
      <c r="D872" s="9" t="s">
        <v>20</v>
      </c>
      <c r="E872" s="2">
        <v>45531</v>
      </c>
      <c r="F872" t="b">
        <v>1</v>
      </c>
      <c r="G872" t="s">
        <v>723</v>
      </c>
      <c r="H872">
        <v>11</v>
      </c>
      <c r="I872">
        <v>4</v>
      </c>
      <c r="J872">
        <v>1</v>
      </c>
      <c r="K872">
        <v>368</v>
      </c>
      <c r="L872">
        <v>2</v>
      </c>
    </row>
    <row r="873" spans="1:12">
      <c r="A873" t="s">
        <v>901</v>
      </c>
      <c r="B873" s="1">
        <v>45560.678472222222</v>
      </c>
      <c r="C873" t="s">
        <v>24</v>
      </c>
      <c r="D873" s="9" t="s">
        <v>17</v>
      </c>
      <c r="E873" s="2">
        <v>45525</v>
      </c>
      <c r="F873" t="b">
        <v>1</v>
      </c>
      <c r="G873" t="s">
        <v>723</v>
      </c>
      <c r="H873">
        <v>11</v>
      </c>
      <c r="I873">
        <v>10</v>
      </c>
      <c r="J873">
        <v>6</v>
      </c>
      <c r="K873">
        <v>532</v>
      </c>
      <c r="L873">
        <v>2</v>
      </c>
    </row>
    <row r="874" spans="1:12">
      <c r="A874" t="s">
        <v>902</v>
      </c>
      <c r="B874" s="1">
        <v>45295</v>
      </c>
      <c r="C874" t="s">
        <v>30</v>
      </c>
      <c r="D874" s="9" t="s">
        <v>26</v>
      </c>
      <c r="E874" s="2">
        <v>45525</v>
      </c>
      <c r="F874" t="b">
        <v>1</v>
      </c>
      <c r="G874" t="s">
        <v>723</v>
      </c>
      <c r="H874">
        <v>11</v>
      </c>
      <c r="I874">
        <v>10</v>
      </c>
      <c r="J874">
        <v>1</v>
      </c>
      <c r="K874">
        <v>662</v>
      </c>
      <c r="L874">
        <v>1</v>
      </c>
    </row>
    <row r="875" spans="1:12">
      <c r="A875" t="s">
        <v>903</v>
      </c>
      <c r="B875" s="1">
        <v>45416</v>
      </c>
      <c r="C875" t="s">
        <v>13</v>
      </c>
      <c r="D875" s="9" t="s">
        <v>26</v>
      </c>
      <c r="E875" s="2">
        <v>45522</v>
      </c>
      <c r="F875" t="b">
        <v>0</v>
      </c>
      <c r="G875" t="s">
        <v>723</v>
      </c>
      <c r="H875">
        <v>11</v>
      </c>
      <c r="I875">
        <v>14</v>
      </c>
      <c r="J875">
        <v>1</v>
      </c>
      <c r="K875">
        <v>541</v>
      </c>
      <c r="L875">
        <v>1</v>
      </c>
    </row>
    <row r="876" spans="1:12">
      <c r="A876" t="s">
        <v>904</v>
      </c>
      <c r="B876" s="1">
        <v>45569.252083333333</v>
      </c>
      <c r="C876" t="s">
        <v>13</v>
      </c>
      <c r="D876" s="9" t="s">
        <v>14</v>
      </c>
      <c r="E876" s="2">
        <v>45519</v>
      </c>
      <c r="F876" t="b">
        <v>0</v>
      </c>
      <c r="G876" t="s">
        <v>723</v>
      </c>
      <c r="H876">
        <v>11</v>
      </c>
      <c r="I876">
        <v>15</v>
      </c>
      <c r="J876">
        <v>1</v>
      </c>
      <c r="K876">
        <v>363</v>
      </c>
      <c r="L876">
        <v>2</v>
      </c>
    </row>
    <row r="877" spans="1:12">
      <c r="A877" t="s">
        <v>905</v>
      </c>
      <c r="B877" s="1">
        <v>45355</v>
      </c>
      <c r="C877" t="s">
        <v>51</v>
      </c>
      <c r="D877" s="9" t="s">
        <v>26</v>
      </c>
      <c r="E877" s="2">
        <v>45512</v>
      </c>
      <c r="F877" t="b">
        <v>0</v>
      </c>
      <c r="G877" t="s">
        <v>723</v>
      </c>
      <c r="H877">
        <v>11</v>
      </c>
      <c r="I877">
        <v>8</v>
      </c>
      <c r="J877">
        <v>1</v>
      </c>
      <c r="K877">
        <v>602</v>
      </c>
      <c r="L877">
        <v>1</v>
      </c>
    </row>
    <row r="878" spans="1:12">
      <c r="A878" t="s">
        <v>906</v>
      </c>
      <c r="B878" s="1">
        <v>45452.832638888889</v>
      </c>
      <c r="C878" t="s">
        <v>19</v>
      </c>
      <c r="D878" s="9" t="s">
        <v>26</v>
      </c>
      <c r="E878" s="2">
        <v>45528</v>
      </c>
      <c r="F878" t="b">
        <v>1</v>
      </c>
      <c r="G878" t="s">
        <v>723</v>
      </c>
      <c r="H878">
        <v>10</v>
      </c>
      <c r="I878">
        <v>7</v>
      </c>
      <c r="J878">
        <v>1</v>
      </c>
      <c r="K878">
        <v>514</v>
      </c>
      <c r="L878">
        <v>2</v>
      </c>
    </row>
    <row r="879" spans="1:12">
      <c r="A879" t="s">
        <v>907</v>
      </c>
      <c r="B879" s="1">
        <v>45506</v>
      </c>
      <c r="C879" t="s">
        <v>37</v>
      </c>
      <c r="D879" s="9" t="s">
        <v>14</v>
      </c>
      <c r="E879" s="2">
        <v>45533</v>
      </c>
      <c r="F879" t="b">
        <v>1</v>
      </c>
      <c r="G879" t="s">
        <v>723</v>
      </c>
      <c r="H879">
        <v>10</v>
      </c>
      <c r="I879">
        <v>2</v>
      </c>
      <c r="J879">
        <v>2</v>
      </c>
      <c r="K879">
        <v>451</v>
      </c>
      <c r="L879">
        <v>1</v>
      </c>
    </row>
    <row r="880" spans="1:12">
      <c r="A880" t="s">
        <v>908</v>
      </c>
      <c r="B880" s="1">
        <v>45429.692361111112</v>
      </c>
      <c r="C880" t="s">
        <v>13</v>
      </c>
      <c r="D880" s="9" t="s">
        <v>26</v>
      </c>
      <c r="E880" s="2">
        <v>45530</v>
      </c>
      <c r="F880" t="b">
        <v>1</v>
      </c>
      <c r="G880" t="s">
        <v>723</v>
      </c>
      <c r="H880">
        <v>10</v>
      </c>
      <c r="I880">
        <v>5</v>
      </c>
      <c r="J880">
        <v>1</v>
      </c>
      <c r="K880">
        <v>605</v>
      </c>
      <c r="L880">
        <v>2</v>
      </c>
    </row>
    <row r="881" spans="1:12">
      <c r="A881" t="s">
        <v>909</v>
      </c>
      <c r="B881" s="1">
        <v>45395.084027777775</v>
      </c>
      <c r="C881" t="s">
        <v>30</v>
      </c>
      <c r="D881" s="9" t="s">
        <v>20</v>
      </c>
      <c r="E881" s="2">
        <v>45527</v>
      </c>
      <c r="F881" t="b">
        <v>1</v>
      </c>
      <c r="G881" t="s">
        <v>723</v>
      </c>
      <c r="H881">
        <v>10</v>
      </c>
      <c r="I881">
        <v>8</v>
      </c>
      <c r="J881">
        <v>3</v>
      </c>
      <c r="K881">
        <v>577</v>
      </c>
      <c r="L881">
        <v>2</v>
      </c>
    </row>
    <row r="882" spans="1:12">
      <c r="A882" t="s">
        <v>910</v>
      </c>
      <c r="B882" s="1">
        <v>45485.738194444442</v>
      </c>
      <c r="C882" t="s">
        <v>19</v>
      </c>
      <c r="D882" s="9" t="s">
        <v>14</v>
      </c>
      <c r="E882" s="2">
        <v>45526</v>
      </c>
      <c r="F882" t="b">
        <v>1</v>
      </c>
      <c r="G882" t="s">
        <v>723</v>
      </c>
      <c r="H882">
        <v>10</v>
      </c>
      <c r="I882">
        <v>9</v>
      </c>
      <c r="J882">
        <v>4</v>
      </c>
      <c r="K882">
        <v>383</v>
      </c>
      <c r="L882">
        <v>2</v>
      </c>
    </row>
    <row r="883" spans="1:12">
      <c r="A883" t="s">
        <v>911</v>
      </c>
      <c r="B883" s="1">
        <v>45389.02847222222</v>
      </c>
      <c r="C883" t="s">
        <v>51</v>
      </c>
      <c r="D883" s="9" t="s">
        <v>14</v>
      </c>
      <c r="E883" s="2">
        <v>45524</v>
      </c>
      <c r="F883" t="b">
        <v>0</v>
      </c>
      <c r="G883" t="s">
        <v>723</v>
      </c>
      <c r="H883">
        <v>10</v>
      </c>
      <c r="I883">
        <v>8</v>
      </c>
      <c r="J883">
        <v>4</v>
      </c>
      <c r="K883">
        <v>568</v>
      </c>
      <c r="L883">
        <v>2</v>
      </c>
    </row>
    <row r="884" spans="1:12">
      <c r="A884" t="s">
        <v>912</v>
      </c>
      <c r="B884" s="1">
        <v>45416</v>
      </c>
      <c r="C884" t="s">
        <v>37</v>
      </c>
      <c r="D884" s="9" t="s">
        <v>20</v>
      </c>
      <c r="E884" s="2">
        <v>45532</v>
      </c>
      <c r="F884" t="b">
        <v>1</v>
      </c>
      <c r="G884" t="s">
        <v>723</v>
      </c>
      <c r="H884">
        <v>10</v>
      </c>
      <c r="I884">
        <v>3</v>
      </c>
      <c r="J884">
        <v>3</v>
      </c>
      <c r="K884">
        <v>541</v>
      </c>
      <c r="L884">
        <v>1</v>
      </c>
    </row>
    <row r="885" spans="1:12">
      <c r="A885" t="s">
        <v>913</v>
      </c>
      <c r="B885" s="1">
        <v>45416.01458333333</v>
      </c>
      <c r="C885" t="s">
        <v>13</v>
      </c>
      <c r="D885" s="9" t="s">
        <v>26</v>
      </c>
      <c r="E885" s="2">
        <v>45508</v>
      </c>
      <c r="F885" t="b">
        <v>0</v>
      </c>
      <c r="G885" t="s">
        <v>723</v>
      </c>
      <c r="H885">
        <v>9</v>
      </c>
      <c r="I885">
        <v>13</v>
      </c>
      <c r="J885">
        <v>4</v>
      </c>
      <c r="K885">
        <v>527</v>
      </c>
      <c r="L885">
        <v>2</v>
      </c>
    </row>
    <row r="886" spans="1:12">
      <c r="A886" t="s">
        <v>914</v>
      </c>
      <c r="B886" s="1">
        <v>45416</v>
      </c>
      <c r="C886" t="s">
        <v>30</v>
      </c>
      <c r="D886" s="9" t="s">
        <v>20</v>
      </c>
      <c r="E886" s="2">
        <v>45534</v>
      </c>
      <c r="F886" t="b">
        <v>1</v>
      </c>
      <c r="G886" t="s">
        <v>723</v>
      </c>
      <c r="H886">
        <v>9</v>
      </c>
      <c r="I886">
        <v>1</v>
      </c>
      <c r="J886">
        <v>6</v>
      </c>
      <c r="K886">
        <v>541</v>
      </c>
      <c r="L886">
        <v>1</v>
      </c>
    </row>
    <row r="887" spans="1:12">
      <c r="A887" t="s">
        <v>915</v>
      </c>
      <c r="B887" s="1">
        <v>45375.996527777781</v>
      </c>
      <c r="C887" t="s">
        <v>30</v>
      </c>
      <c r="D887" s="9" t="s">
        <v>20</v>
      </c>
      <c r="E887" s="2">
        <v>45532</v>
      </c>
      <c r="F887" t="b">
        <v>1</v>
      </c>
      <c r="G887" t="s">
        <v>723</v>
      </c>
      <c r="H887">
        <v>9</v>
      </c>
      <c r="I887">
        <v>3</v>
      </c>
      <c r="J887">
        <v>5</v>
      </c>
      <c r="K887">
        <v>546</v>
      </c>
      <c r="L887">
        <v>2</v>
      </c>
    </row>
    <row r="888" spans="1:12">
      <c r="A888" t="s">
        <v>916</v>
      </c>
      <c r="B888" s="1">
        <v>45364.763888888891</v>
      </c>
      <c r="C888" t="s">
        <v>30</v>
      </c>
      <c r="D888" s="9" t="s">
        <v>26</v>
      </c>
      <c r="E888" s="2">
        <v>45534</v>
      </c>
      <c r="F888" t="b">
        <v>1</v>
      </c>
      <c r="G888" t="s">
        <v>723</v>
      </c>
      <c r="H888">
        <v>9</v>
      </c>
      <c r="I888">
        <v>1</v>
      </c>
      <c r="J888">
        <v>5</v>
      </c>
      <c r="K888">
        <v>431</v>
      </c>
      <c r="L888">
        <v>2</v>
      </c>
    </row>
    <row r="889" spans="1:12">
      <c r="A889" t="s">
        <v>917</v>
      </c>
      <c r="B889" s="1">
        <v>45417</v>
      </c>
      <c r="C889" t="s">
        <v>19</v>
      </c>
      <c r="D889" s="9" t="s">
        <v>17</v>
      </c>
      <c r="E889" s="2">
        <v>45516</v>
      </c>
      <c r="F889" t="b">
        <v>0</v>
      </c>
      <c r="G889" t="s">
        <v>723</v>
      </c>
      <c r="H889">
        <v>9</v>
      </c>
      <c r="I889">
        <v>11</v>
      </c>
      <c r="J889">
        <v>13</v>
      </c>
      <c r="K889">
        <v>540</v>
      </c>
      <c r="L889">
        <v>0</v>
      </c>
    </row>
    <row r="890" spans="1:12">
      <c r="A890" t="s">
        <v>918</v>
      </c>
      <c r="B890" s="1">
        <v>45331.679166666669</v>
      </c>
      <c r="C890" t="s">
        <v>24</v>
      </c>
      <c r="D890" s="9" t="s">
        <v>20</v>
      </c>
      <c r="E890" s="2">
        <v>45533</v>
      </c>
      <c r="F890" t="b">
        <v>1</v>
      </c>
      <c r="G890" t="s">
        <v>723</v>
      </c>
      <c r="H890">
        <v>9</v>
      </c>
      <c r="I890">
        <v>2</v>
      </c>
      <c r="J890">
        <v>5</v>
      </c>
      <c r="K890">
        <v>650</v>
      </c>
      <c r="L890">
        <v>2</v>
      </c>
    </row>
    <row r="891" spans="1:12">
      <c r="A891" t="s">
        <v>919</v>
      </c>
      <c r="B891" s="1">
        <v>45353</v>
      </c>
      <c r="C891" t="s">
        <v>24</v>
      </c>
      <c r="D891" s="9" t="s">
        <v>26</v>
      </c>
      <c r="E891" s="2">
        <v>45527</v>
      </c>
      <c r="F891" t="b">
        <v>1</v>
      </c>
      <c r="G891" t="s">
        <v>723</v>
      </c>
      <c r="H891">
        <v>9</v>
      </c>
      <c r="I891">
        <v>8</v>
      </c>
      <c r="J891">
        <v>4</v>
      </c>
      <c r="K891">
        <v>604</v>
      </c>
      <c r="L891">
        <v>1</v>
      </c>
    </row>
    <row r="892" spans="1:12">
      <c r="A892" t="s">
        <v>920</v>
      </c>
      <c r="B892" s="1">
        <v>45312.65625</v>
      </c>
      <c r="C892" t="s">
        <v>13</v>
      </c>
      <c r="D892" s="9" t="s">
        <v>26</v>
      </c>
      <c r="E892" s="2">
        <v>45524</v>
      </c>
      <c r="F892" t="b">
        <v>0</v>
      </c>
      <c r="G892" t="s">
        <v>723</v>
      </c>
      <c r="H892">
        <v>9</v>
      </c>
      <c r="I892">
        <v>25</v>
      </c>
      <c r="J892">
        <v>1</v>
      </c>
      <c r="K892">
        <v>628</v>
      </c>
      <c r="L892">
        <v>2</v>
      </c>
    </row>
    <row r="893" spans="1:12">
      <c r="A893" t="s">
        <v>921</v>
      </c>
      <c r="B893" s="1">
        <v>45525.824999999997</v>
      </c>
      <c r="C893" t="s">
        <v>13</v>
      </c>
      <c r="D893" s="9" t="s">
        <v>17</v>
      </c>
      <c r="E893" s="2">
        <v>45534</v>
      </c>
      <c r="F893" t="b">
        <v>0</v>
      </c>
      <c r="G893" t="s">
        <v>723</v>
      </c>
      <c r="H893">
        <v>9</v>
      </c>
      <c r="I893">
        <v>5</v>
      </c>
      <c r="J893">
        <v>10</v>
      </c>
      <c r="K893">
        <v>450</v>
      </c>
      <c r="L893">
        <v>0</v>
      </c>
    </row>
    <row r="894" spans="1:12">
      <c r="A894" t="s">
        <v>922</v>
      </c>
      <c r="B894" s="1">
        <v>45387</v>
      </c>
      <c r="C894" t="s">
        <v>33</v>
      </c>
      <c r="D894" s="9" t="s">
        <v>14</v>
      </c>
      <c r="E894" s="2">
        <v>45514</v>
      </c>
      <c r="F894" t="b">
        <v>0</v>
      </c>
      <c r="G894" t="s">
        <v>723</v>
      </c>
      <c r="H894">
        <v>9</v>
      </c>
      <c r="I894">
        <v>12</v>
      </c>
      <c r="J894">
        <v>1</v>
      </c>
      <c r="K894">
        <v>570</v>
      </c>
      <c r="L894">
        <v>1</v>
      </c>
    </row>
    <row r="895" spans="1:12">
      <c r="A895" t="s">
        <v>923</v>
      </c>
      <c r="B895" s="1">
        <v>45536</v>
      </c>
      <c r="C895" t="s">
        <v>13</v>
      </c>
      <c r="D895" s="9" t="s">
        <v>20</v>
      </c>
      <c r="E895" s="2">
        <v>45527</v>
      </c>
      <c r="F895" t="b">
        <v>1</v>
      </c>
      <c r="G895" t="s">
        <v>723</v>
      </c>
      <c r="H895">
        <v>9</v>
      </c>
      <c r="I895">
        <v>8</v>
      </c>
      <c r="J895">
        <v>1</v>
      </c>
      <c r="K895">
        <v>421</v>
      </c>
      <c r="L895">
        <v>1</v>
      </c>
    </row>
    <row r="896" spans="1:12">
      <c r="A896" t="s">
        <v>924</v>
      </c>
      <c r="B896" s="1">
        <v>45460.508333333331</v>
      </c>
      <c r="C896" t="s">
        <v>13</v>
      </c>
      <c r="D896" s="9" t="s">
        <v>26</v>
      </c>
      <c r="E896" s="2">
        <v>45526</v>
      </c>
      <c r="F896" t="b">
        <v>1</v>
      </c>
      <c r="G896" t="s">
        <v>723</v>
      </c>
      <c r="H896">
        <v>9</v>
      </c>
      <c r="I896">
        <v>9</v>
      </c>
      <c r="J896">
        <v>2</v>
      </c>
      <c r="K896">
        <v>499</v>
      </c>
      <c r="L896">
        <v>2</v>
      </c>
    </row>
    <row r="897" spans="1:12">
      <c r="A897" t="s">
        <v>925</v>
      </c>
      <c r="B897" s="1">
        <v>45294</v>
      </c>
      <c r="C897" t="s">
        <v>30</v>
      </c>
      <c r="D897" s="9" t="s">
        <v>20</v>
      </c>
      <c r="E897" s="2">
        <v>45533</v>
      </c>
      <c r="F897" t="b">
        <v>0</v>
      </c>
      <c r="G897" t="s">
        <v>723</v>
      </c>
      <c r="H897">
        <v>9</v>
      </c>
      <c r="I897">
        <v>22</v>
      </c>
      <c r="J897">
        <v>4</v>
      </c>
      <c r="K897">
        <v>663</v>
      </c>
      <c r="L897">
        <v>1</v>
      </c>
    </row>
    <row r="898" spans="1:12">
      <c r="A898" t="s">
        <v>926</v>
      </c>
      <c r="B898" s="1">
        <v>45356</v>
      </c>
      <c r="C898" t="s">
        <v>30</v>
      </c>
      <c r="D898" s="9" t="s">
        <v>14</v>
      </c>
      <c r="E898" s="2">
        <v>45520</v>
      </c>
      <c r="F898" t="b">
        <v>0</v>
      </c>
      <c r="G898" t="s">
        <v>723</v>
      </c>
      <c r="H898">
        <v>9</v>
      </c>
      <c r="I898">
        <v>27</v>
      </c>
      <c r="J898">
        <v>2</v>
      </c>
      <c r="K898">
        <v>601</v>
      </c>
      <c r="L898">
        <v>1</v>
      </c>
    </row>
    <row r="899" spans="1:12">
      <c r="A899" t="s">
        <v>927</v>
      </c>
      <c r="B899" s="1">
        <v>45563.022916666669</v>
      </c>
      <c r="C899" t="s">
        <v>33</v>
      </c>
      <c r="D899" s="9" t="s">
        <v>14</v>
      </c>
      <c r="E899" s="2">
        <v>45530</v>
      </c>
      <c r="F899" t="b">
        <v>0</v>
      </c>
      <c r="G899" t="s">
        <v>723</v>
      </c>
      <c r="H899">
        <v>9</v>
      </c>
      <c r="I899">
        <v>22</v>
      </c>
      <c r="J899">
        <v>1</v>
      </c>
      <c r="K899">
        <v>335</v>
      </c>
      <c r="L899">
        <v>2</v>
      </c>
    </row>
    <row r="900" spans="1:12">
      <c r="A900" t="s">
        <v>928</v>
      </c>
      <c r="B900" s="1">
        <v>45422</v>
      </c>
      <c r="C900" t="s">
        <v>30</v>
      </c>
      <c r="D900" s="9" t="s">
        <v>20</v>
      </c>
      <c r="E900" s="2">
        <v>45526</v>
      </c>
      <c r="F900" t="b">
        <v>1</v>
      </c>
      <c r="G900" t="s">
        <v>723</v>
      </c>
      <c r="H900">
        <v>9</v>
      </c>
      <c r="I900">
        <v>9</v>
      </c>
      <c r="J900">
        <v>3</v>
      </c>
      <c r="K900">
        <v>535</v>
      </c>
      <c r="L900">
        <v>1</v>
      </c>
    </row>
    <row r="901" spans="1:12">
      <c r="A901" t="s">
        <v>929</v>
      </c>
      <c r="B901" s="1">
        <v>45461.026388888888</v>
      </c>
      <c r="C901" t="s">
        <v>37</v>
      </c>
      <c r="D901" s="9" t="s">
        <v>14</v>
      </c>
      <c r="E901" s="2">
        <v>45529</v>
      </c>
      <c r="F901" t="b">
        <v>1</v>
      </c>
      <c r="G901" t="s">
        <v>723</v>
      </c>
      <c r="H901">
        <v>9</v>
      </c>
      <c r="I901">
        <v>6</v>
      </c>
      <c r="J901">
        <v>1</v>
      </c>
      <c r="K901">
        <v>367</v>
      </c>
      <c r="L901">
        <v>2</v>
      </c>
    </row>
    <row r="902" spans="1:12">
      <c r="A902" t="s">
        <v>930</v>
      </c>
      <c r="B902" s="1">
        <v>45574.837500000001</v>
      </c>
      <c r="C902" t="s">
        <v>22</v>
      </c>
      <c r="D902" s="9" t="s">
        <v>14</v>
      </c>
      <c r="E902" s="2">
        <v>45532</v>
      </c>
      <c r="F902" t="b">
        <v>1</v>
      </c>
      <c r="G902" t="s">
        <v>723</v>
      </c>
      <c r="H902">
        <v>9</v>
      </c>
      <c r="I902">
        <v>3</v>
      </c>
      <c r="J902">
        <v>2</v>
      </c>
      <c r="K902">
        <v>416</v>
      </c>
      <c r="L902">
        <v>2</v>
      </c>
    </row>
    <row r="903" spans="1:12">
      <c r="A903" t="s">
        <v>931</v>
      </c>
      <c r="B903" s="1">
        <v>45315.031944444447</v>
      </c>
      <c r="C903" t="s">
        <v>33</v>
      </c>
      <c r="D903" s="9" t="s">
        <v>14</v>
      </c>
      <c r="E903" s="2">
        <v>45523</v>
      </c>
      <c r="F903" t="b">
        <v>0</v>
      </c>
      <c r="G903" t="s">
        <v>723</v>
      </c>
      <c r="H903">
        <v>9</v>
      </c>
      <c r="I903">
        <v>12</v>
      </c>
      <c r="J903">
        <v>2</v>
      </c>
      <c r="K903">
        <v>547</v>
      </c>
      <c r="L903">
        <v>2</v>
      </c>
    </row>
    <row r="904" spans="1:12">
      <c r="A904" t="s">
        <v>932</v>
      </c>
      <c r="B904" s="1">
        <v>45508</v>
      </c>
      <c r="C904" t="s">
        <v>19</v>
      </c>
      <c r="D904" s="9" t="s">
        <v>26</v>
      </c>
      <c r="E904" s="2">
        <v>45507</v>
      </c>
      <c r="F904" t="b">
        <v>0</v>
      </c>
      <c r="G904" t="s">
        <v>723</v>
      </c>
      <c r="H904">
        <v>9</v>
      </c>
      <c r="I904">
        <v>20</v>
      </c>
      <c r="J904">
        <v>6</v>
      </c>
      <c r="K904">
        <v>449</v>
      </c>
      <c r="L904">
        <v>1</v>
      </c>
    </row>
    <row r="905" spans="1:12">
      <c r="A905" t="s">
        <v>933</v>
      </c>
      <c r="B905" s="1">
        <v>45585.8125</v>
      </c>
      <c r="C905" t="s">
        <v>13</v>
      </c>
      <c r="D905" s="9" t="s">
        <v>14</v>
      </c>
      <c r="E905" s="2">
        <v>45512</v>
      </c>
      <c r="F905" t="b">
        <v>0</v>
      </c>
      <c r="G905" t="s">
        <v>723</v>
      </c>
      <c r="H905">
        <v>9</v>
      </c>
      <c r="I905">
        <v>6</v>
      </c>
      <c r="J905">
        <v>5</v>
      </c>
      <c r="K905">
        <v>462</v>
      </c>
      <c r="L905">
        <v>2</v>
      </c>
    </row>
    <row r="906" spans="1:12">
      <c r="A906" t="s">
        <v>934</v>
      </c>
      <c r="B906" s="1">
        <v>45356</v>
      </c>
      <c r="C906" t="s">
        <v>30</v>
      </c>
      <c r="D906" s="9" t="s">
        <v>20</v>
      </c>
      <c r="E906" s="2">
        <v>45507</v>
      </c>
      <c r="F906" t="b">
        <v>0</v>
      </c>
      <c r="G906" t="s">
        <v>723</v>
      </c>
      <c r="H906">
        <v>8</v>
      </c>
      <c r="I906">
        <v>18</v>
      </c>
      <c r="J906">
        <v>3</v>
      </c>
      <c r="K906">
        <v>601</v>
      </c>
      <c r="L906">
        <v>1</v>
      </c>
    </row>
    <row r="907" spans="1:12">
      <c r="A907" t="s">
        <v>935</v>
      </c>
      <c r="B907" s="1">
        <v>45607.667361111111</v>
      </c>
      <c r="C907" t="s">
        <v>30</v>
      </c>
      <c r="D907" s="9" t="s">
        <v>20</v>
      </c>
      <c r="E907" s="2">
        <v>45506</v>
      </c>
      <c r="F907" t="b">
        <v>0</v>
      </c>
      <c r="G907" t="s">
        <v>723</v>
      </c>
      <c r="H907">
        <v>8</v>
      </c>
      <c r="I907">
        <v>29</v>
      </c>
      <c r="J907">
        <v>10</v>
      </c>
      <c r="K907">
        <v>385</v>
      </c>
      <c r="L907">
        <v>0</v>
      </c>
    </row>
    <row r="908" spans="1:12">
      <c r="A908" t="s">
        <v>936</v>
      </c>
      <c r="B908" s="1">
        <v>45570.382638888892</v>
      </c>
      <c r="C908" t="s">
        <v>37</v>
      </c>
      <c r="D908" s="9" t="s">
        <v>20</v>
      </c>
      <c r="E908" s="2">
        <v>45532</v>
      </c>
      <c r="F908" t="b">
        <v>1</v>
      </c>
      <c r="G908" t="s">
        <v>723</v>
      </c>
      <c r="H908">
        <v>8</v>
      </c>
      <c r="I908">
        <v>3</v>
      </c>
      <c r="J908">
        <v>6</v>
      </c>
      <c r="K908">
        <v>379</v>
      </c>
      <c r="L908">
        <v>2</v>
      </c>
    </row>
    <row r="909" spans="1:12">
      <c r="A909" t="s">
        <v>937</v>
      </c>
      <c r="B909" s="1">
        <v>45605</v>
      </c>
      <c r="C909" t="s">
        <v>13</v>
      </c>
      <c r="D909" s="9" t="s">
        <v>14</v>
      </c>
      <c r="E909" s="2">
        <v>45529</v>
      </c>
      <c r="F909" t="b">
        <v>0</v>
      </c>
      <c r="G909" t="s">
        <v>723</v>
      </c>
      <c r="H909">
        <v>8</v>
      </c>
      <c r="I909">
        <v>23</v>
      </c>
      <c r="J909">
        <v>5</v>
      </c>
      <c r="K909">
        <v>352</v>
      </c>
      <c r="L909">
        <v>1</v>
      </c>
    </row>
    <row r="910" spans="1:12">
      <c r="A910" t="s">
        <v>938</v>
      </c>
      <c r="B910" s="1">
        <v>45477</v>
      </c>
      <c r="C910" t="s">
        <v>24</v>
      </c>
      <c r="D910" s="9" t="s">
        <v>14</v>
      </c>
      <c r="E910" s="2">
        <v>45531</v>
      </c>
      <c r="F910" t="b">
        <v>1</v>
      </c>
      <c r="G910" t="s">
        <v>723</v>
      </c>
      <c r="H910">
        <v>8</v>
      </c>
      <c r="I910">
        <v>4</v>
      </c>
      <c r="J910">
        <v>1</v>
      </c>
      <c r="K910">
        <v>480</v>
      </c>
      <c r="L910">
        <v>1</v>
      </c>
    </row>
    <row r="911" spans="1:12">
      <c r="A911" t="s">
        <v>939</v>
      </c>
      <c r="B911" s="1">
        <v>45627</v>
      </c>
      <c r="C911" t="s">
        <v>13</v>
      </c>
      <c r="D911" s="9" t="s">
        <v>20</v>
      </c>
      <c r="E911" s="2">
        <v>45528</v>
      </c>
      <c r="F911" t="b">
        <v>1</v>
      </c>
      <c r="G911" t="s">
        <v>723</v>
      </c>
      <c r="H911">
        <v>8</v>
      </c>
      <c r="I911">
        <v>7</v>
      </c>
      <c r="J911">
        <v>3</v>
      </c>
      <c r="K911">
        <v>330</v>
      </c>
      <c r="L911">
        <v>1</v>
      </c>
    </row>
    <row r="912" spans="1:12">
      <c r="A912" t="s">
        <v>940</v>
      </c>
      <c r="B912" s="1">
        <v>45602</v>
      </c>
      <c r="C912" t="s">
        <v>37</v>
      </c>
      <c r="D912" s="9" t="s">
        <v>20</v>
      </c>
      <c r="E912" s="2">
        <v>45529</v>
      </c>
      <c r="F912" t="b">
        <v>1</v>
      </c>
      <c r="G912" t="s">
        <v>723</v>
      </c>
      <c r="H912">
        <v>8</v>
      </c>
      <c r="I912">
        <v>6</v>
      </c>
      <c r="J912">
        <v>3</v>
      </c>
      <c r="K912">
        <v>355</v>
      </c>
      <c r="L912">
        <v>1</v>
      </c>
    </row>
    <row r="913" spans="1:12">
      <c r="A913" t="s">
        <v>941</v>
      </c>
      <c r="B913" s="1">
        <v>45529.468055555553</v>
      </c>
      <c r="C913" t="s">
        <v>37</v>
      </c>
      <c r="D913" s="9" t="s">
        <v>17</v>
      </c>
      <c r="E913" s="2">
        <v>45532</v>
      </c>
      <c r="F913" t="b">
        <v>1</v>
      </c>
      <c r="G913" t="s">
        <v>723</v>
      </c>
      <c r="H913">
        <v>8</v>
      </c>
      <c r="I913">
        <v>3</v>
      </c>
      <c r="J913">
        <v>10</v>
      </c>
      <c r="K913">
        <v>554</v>
      </c>
      <c r="L913">
        <v>0</v>
      </c>
    </row>
    <row r="914" spans="1:12">
      <c r="A914" t="s">
        <v>942</v>
      </c>
      <c r="B914" s="1">
        <v>45479</v>
      </c>
      <c r="C914" t="s">
        <v>33</v>
      </c>
      <c r="D914" s="9" t="s">
        <v>20</v>
      </c>
      <c r="E914" s="2">
        <v>45532</v>
      </c>
      <c r="F914" t="b">
        <v>1</v>
      </c>
      <c r="G914" t="s">
        <v>723</v>
      </c>
      <c r="H914">
        <v>8</v>
      </c>
      <c r="I914">
        <v>3</v>
      </c>
      <c r="J914">
        <v>5</v>
      </c>
      <c r="K914">
        <v>478</v>
      </c>
      <c r="L914">
        <v>1</v>
      </c>
    </row>
    <row r="915" spans="1:12">
      <c r="A915" t="s">
        <v>943</v>
      </c>
      <c r="B915" s="1">
        <v>45611.267361111109</v>
      </c>
      <c r="C915" t="s">
        <v>30</v>
      </c>
      <c r="D915" s="9" t="s">
        <v>14</v>
      </c>
      <c r="E915" s="2">
        <v>45527</v>
      </c>
      <c r="F915" t="b">
        <v>0</v>
      </c>
      <c r="G915" t="s">
        <v>723</v>
      </c>
      <c r="H915">
        <v>8</v>
      </c>
      <c r="I915">
        <v>19</v>
      </c>
      <c r="J915">
        <v>1</v>
      </c>
      <c r="K915">
        <v>364</v>
      </c>
      <c r="L915">
        <v>2</v>
      </c>
    </row>
    <row r="916" spans="1:12">
      <c r="A916" t="s">
        <v>944</v>
      </c>
      <c r="B916" s="1">
        <v>45322.256249999999</v>
      </c>
      <c r="C916" t="s">
        <v>30</v>
      </c>
      <c r="D916" s="9" t="s">
        <v>26</v>
      </c>
      <c r="E916" s="2">
        <v>45534</v>
      </c>
      <c r="F916" t="b">
        <v>1</v>
      </c>
      <c r="G916" t="s">
        <v>723</v>
      </c>
      <c r="H916">
        <v>8</v>
      </c>
      <c r="I916">
        <v>1</v>
      </c>
      <c r="J916">
        <v>4</v>
      </c>
      <c r="K916">
        <v>454</v>
      </c>
      <c r="L916">
        <v>2</v>
      </c>
    </row>
    <row r="917" spans="1:12">
      <c r="A917" t="s">
        <v>945</v>
      </c>
      <c r="B917" s="1">
        <v>45478</v>
      </c>
      <c r="C917" t="s">
        <v>13</v>
      </c>
      <c r="D917" s="9" t="s">
        <v>26</v>
      </c>
      <c r="E917" s="2">
        <v>45528</v>
      </c>
      <c r="F917" t="b">
        <v>1</v>
      </c>
      <c r="G917" t="s">
        <v>723</v>
      </c>
      <c r="H917">
        <v>8</v>
      </c>
      <c r="I917">
        <v>7</v>
      </c>
      <c r="J917">
        <v>2</v>
      </c>
      <c r="K917">
        <v>479</v>
      </c>
      <c r="L917">
        <v>1</v>
      </c>
    </row>
    <row r="918" spans="1:12">
      <c r="A918" t="s">
        <v>946</v>
      </c>
      <c r="B918" s="1">
        <v>45539.660416666666</v>
      </c>
      <c r="C918" t="s">
        <v>33</v>
      </c>
      <c r="D918" s="9" t="s">
        <v>17</v>
      </c>
      <c r="E918" s="2">
        <v>45530</v>
      </c>
      <c r="F918" t="b">
        <v>1</v>
      </c>
      <c r="G918" t="s">
        <v>723</v>
      </c>
      <c r="H918">
        <v>8</v>
      </c>
      <c r="I918">
        <v>5</v>
      </c>
      <c r="J918">
        <v>12</v>
      </c>
      <c r="K918">
        <v>516</v>
      </c>
      <c r="L918">
        <v>0</v>
      </c>
    </row>
    <row r="919" spans="1:12">
      <c r="A919" t="s">
        <v>947</v>
      </c>
      <c r="B919" s="1">
        <v>45417.926388888889</v>
      </c>
      <c r="C919" t="s">
        <v>19</v>
      </c>
      <c r="D919" s="9" t="s">
        <v>14</v>
      </c>
      <c r="E919" s="2">
        <v>45532</v>
      </c>
      <c r="F919" t="b">
        <v>1</v>
      </c>
      <c r="G919" t="s">
        <v>723</v>
      </c>
      <c r="H919">
        <v>7</v>
      </c>
      <c r="I919">
        <v>3</v>
      </c>
      <c r="J919">
        <v>1</v>
      </c>
      <c r="K919">
        <v>332</v>
      </c>
      <c r="L919">
        <v>2</v>
      </c>
    </row>
    <row r="920" spans="1:12">
      <c r="A920" t="s">
        <v>948</v>
      </c>
      <c r="B920" s="1">
        <v>45406.331944444442</v>
      </c>
      <c r="C920" t="s">
        <v>37</v>
      </c>
      <c r="D920" s="9" t="s">
        <v>14</v>
      </c>
      <c r="E920" s="2">
        <v>45522</v>
      </c>
      <c r="F920" t="b">
        <v>0</v>
      </c>
      <c r="G920" t="s">
        <v>723</v>
      </c>
      <c r="H920">
        <v>7</v>
      </c>
      <c r="I920">
        <v>17</v>
      </c>
      <c r="J920">
        <v>5</v>
      </c>
      <c r="K920">
        <v>662</v>
      </c>
      <c r="L920">
        <v>2</v>
      </c>
    </row>
    <row r="921" spans="1:12">
      <c r="A921" t="s">
        <v>949</v>
      </c>
      <c r="B921" s="1">
        <v>45438.299305555556</v>
      </c>
      <c r="C921" t="s">
        <v>19</v>
      </c>
      <c r="D921" s="9" t="s">
        <v>26</v>
      </c>
      <c r="E921" s="2">
        <v>45528</v>
      </c>
      <c r="F921" t="b">
        <v>1</v>
      </c>
      <c r="G921" t="s">
        <v>723</v>
      </c>
      <c r="H921">
        <v>7</v>
      </c>
      <c r="I921">
        <v>7</v>
      </c>
      <c r="J921">
        <v>1</v>
      </c>
      <c r="K921">
        <v>413</v>
      </c>
      <c r="L921">
        <v>2</v>
      </c>
    </row>
    <row r="922" spans="1:12">
      <c r="A922" t="s">
        <v>950</v>
      </c>
      <c r="B922" s="1">
        <v>45510</v>
      </c>
      <c r="C922" t="s">
        <v>13</v>
      </c>
      <c r="D922" s="9" t="s">
        <v>26</v>
      </c>
      <c r="E922" s="2">
        <v>45528</v>
      </c>
      <c r="F922" t="b">
        <v>1</v>
      </c>
      <c r="G922" t="s">
        <v>723</v>
      </c>
      <c r="H922">
        <v>7</v>
      </c>
      <c r="I922">
        <v>7</v>
      </c>
      <c r="J922">
        <v>1</v>
      </c>
      <c r="K922">
        <v>447</v>
      </c>
      <c r="L922">
        <v>1</v>
      </c>
    </row>
    <row r="923" spans="1:12">
      <c r="A923" t="s">
        <v>951</v>
      </c>
      <c r="B923" s="1">
        <v>45471.469444444447</v>
      </c>
      <c r="C923" t="s">
        <v>30</v>
      </c>
      <c r="D923" s="9" t="s">
        <v>14</v>
      </c>
      <c r="E923" s="2">
        <v>45526</v>
      </c>
      <c r="F923" t="b">
        <v>0</v>
      </c>
      <c r="G923" t="s">
        <v>723</v>
      </c>
      <c r="H923">
        <v>7</v>
      </c>
      <c r="I923">
        <v>20</v>
      </c>
      <c r="J923">
        <v>2</v>
      </c>
      <c r="K923">
        <v>438</v>
      </c>
      <c r="L923">
        <v>2</v>
      </c>
    </row>
    <row r="924" spans="1:12">
      <c r="A924" t="s">
        <v>952</v>
      </c>
      <c r="B924" s="1">
        <v>45469.64166666667</v>
      </c>
      <c r="C924" t="s">
        <v>37</v>
      </c>
      <c r="D924" s="9" t="s">
        <v>20</v>
      </c>
      <c r="E924" s="2">
        <v>45506</v>
      </c>
      <c r="F924" t="b">
        <v>0</v>
      </c>
      <c r="G924" t="s">
        <v>723</v>
      </c>
      <c r="H924">
        <v>7</v>
      </c>
      <c r="I924">
        <v>27</v>
      </c>
      <c r="J924">
        <v>3</v>
      </c>
      <c r="K924">
        <v>431</v>
      </c>
      <c r="L924">
        <v>2</v>
      </c>
    </row>
    <row r="925" spans="1:12">
      <c r="A925" t="s">
        <v>953</v>
      </c>
      <c r="B925" s="1">
        <v>45397.396527777775</v>
      </c>
      <c r="C925" t="s">
        <v>13</v>
      </c>
      <c r="D925" s="9" t="s">
        <v>20</v>
      </c>
      <c r="E925" s="2">
        <v>45532</v>
      </c>
      <c r="F925" t="b">
        <v>0</v>
      </c>
      <c r="G925" t="s">
        <v>723</v>
      </c>
      <c r="H925">
        <v>7</v>
      </c>
      <c r="I925">
        <v>24</v>
      </c>
      <c r="J925">
        <v>7</v>
      </c>
      <c r="K925">
        <v>430</v>
      </c>
      <c r="L925">
        <v>2</v>
      </c>
    </row>
    <row r="926" spans="1:12">
      <c r="A926" t="s">
        <v>954</v>
      </c>
      <c r="B926" s="1">
        <v>45514</v>
      </c>
      <c r="C926" t="s">
        <v>51</v>
      </c>
      <c r="D926" s="9" t="s">
        <v>14</v>
      </c>
      <c r="E926" s="2">
        <v>45528</v>
      </c>
      <c r="F926" t="b">
        <v>0</v>
      </c>
      <c r="G926" t="s">
        <v>723</v>
      </c>
      <c r="H926">
        <v>7</v>
      </c>
      <c r="I926">
        <v>16</v>
      </c>
      <c r="J926">
        <v>1</v>
      </c>
      <c r="K926">
        <v>443</v>
      </c>
      <c r="L926">
        <v>1</v>
      </c>
    </row>
    <row r="927" spans="1:12">
      <c r="A927" t="s">
        <v>955</v>
      </c>
      <c r="B927" s="1">
        <v>45422</v>
      </c>
      <c r="C927" t="s">
        <v>33</v>
      </c>
      <c r="D927" s="9" t="s">
        <v>14</v>
      </c>
      <c r="E927" s="2">
        <v>45509</v>
      </c>
      <c r="F927" t="b">
        <v>0</v>
      </c>
      <c r="G927" t="s">
        <v>723</v>
      </c>
      <c r="H927">
        <v>7</v>
      </c>
      <c r="I927">
        <v>24</v>
      </c>
      <c r="J927">
        <v>1</v>
      </c>
      <c r="K927">
        <v>535</v>
      </c>
      <c r="L927">
        <v>1</v>
      </c>
    </row>
    <row r="928" spans="1:12">
      <c r="A928" t="s">
        <v>956</v>
      </c>
      <c r="B928" s="1">
        <v>45566</v>
      </c>
      <c r="C928" t="s">
        <v>30</v>
      </c>
      <c r="D928" s="9" t="s">
        <v>14</v>
      </c>
      <c r="E928" s="2">
        <v>45529</v>
      </c>
      <c r="F928" t="b">
        <v>0</v>
      </c>
      <c r="G928" t="s">
        <v>723</v>
      </c>
      <c r="H928">
        <v>7</v>
      </c>
      <c r="I928">
        <v>29</v>
      </c>
      <c r="J928">
        <v>1</v>
      </c>
      <c r="K928">
        <v>391</v>
      </c>
      <c r="L928">
        <v>1</v>
      </c>
    </row>
    <row r="929" spans="1:12">
      <c r="A929" t="s">
        <v>957</v>
      </c>
      <c r="B929" s="1">
        <v>45450.788194444445</v>
      </c>
      <c r="C929" t="s">
        <v>30</v>
      </c>
      <c r="D929" s="9" t="s">
        <v>20</v>
      </c>
      <c r="E929" s="2">
        <v>45529</v>
      </c>
      <c r="F929" t="b">
        <v>1</v>
      </c>
      <c r="G929" t="s">
        <v>723</v>
      </c>
      <c r="H929">
        <v>6</v>
      </c>
      <c r="I929">
        <v>6</v>
      </c>
      <c r="J929">
        <v>5</v>
      </c>
      <c r="K929">
        <v>462</v>
      </c>
      <c r="L929">
        <v>2</v>
      </c>
    </row>
    <row r="930" spans="1:12">
      <c r="A930" t="s">
        <v>958</v>
      </c>
      <c r="B930" s="1">
        <v>45305.885416666664</v>
      </c>
      <c r="C930" t="s">
        <v>13</v>
      </c>
      <c r="D930" s="9" t="s">
        <v>26</v>
      </c>
      <c r="E930" s="2">
        <v>45531</v>
      </c>
      <c r="F930" t="b">
        <v>0</v>
      </c>
      <c r="G930" t="s">
        <v>723</v>
      </c>
      <c r="H930">
        <v>6</v>
      </c>
      <c r="I930">
        <v>1</v>
      </c>
      <c r="J930">
        <v>2</v>
      </c>
      <c r="K930">
        <v>523</v>
      </c>
      <c r="L930">
        <v>2</v>
      </c>
    </row>
    <row r="931" spans="1:12">
      <c r="A931" t="s">
        <v>959</v>
      </c>
      <c r="B931" s="1">
        <v>45479</v>
      </c>
      <c r="C931" t="s">
        <v>30</v>
      </c>
      <c r="D931" s="9" t="s">
        <v>26</v>
      </c>
      <c r="E931" s="2">
        <v>45531</v>
      </c>
      <c r="F931" t="b">
        <v>1</v>
      </c>
      <c r="G931" t="s">
        <v>723</v>
      </c>
      <c r="H931">
        <v>6</v>
      </c>
      <c r="I931">
        <v>4</v>
      </c>
      <c r="J931">
        <v>3</v>
      </c>
      <c r="K931">
        <v>478</v>
      </c>
      <c r="L931">
        <v>1</v>
      </c>
    </row>
    <row r="932" spans="1:12">
      <c r="A932" t="s">
        <v>960</v>
      </c>
      <c r="B932" s="1">
        <v>45571</v>
      </c>
      <c r="C932" t="s">
        <v>37</v>
      </c>
      <c r="D932" s="9" t="s">
        <v>14</v>
      </c>
      <c r="E932" s="2">
        <v>45522</v>
      </c>
      <c r="F932" t="b">
        <v>0</v>
      </c>
      <c r="G932" t="s">
        <v>723</v>
      </c>
      <c r="H932">
        <v>6</v>
      </c>
      <c r="I932">
        <v>14</v>
      </c>
      <c r="J932">
        <v>2</v>
      </c>
      <c r="K932">
        <v>386</v>
      </c>
      <c r="L932">
        <v>1</v>
      </c>
    </row>
    <row r="933" spans="1:12">
      <c r="A933" t="s">
        <v>961</v>
      </c>
      <c r="B933" s="1">
        <v>45297.741666666669</v>
      </c>
      <c r="C933" t="s">
        <v>30</v>
      </c>
      <c r="D933" s="9" t="s">
        <v>26</v>
      </c>
      <c r="E933" s="2">
        <v>45530</v>
      </c>
      <c r="F933" t="b">
        <v>1</v>
      </c>
      <c r="G933" t="s">
        <v>723</v>
      </c>
      <c r="H933">
        <v>6</v>
      </c>
      <c r="I933">
        <v>5</v>
      </c>
      <c r="J933">
        <v>2</v>
      </c>
      <c r="K933">
        <v>472</v>
      </c>
      <c r="L933">
        <v>2</v>
      </c>
    </row>
    <row r="934" spans="1:12">
      <c r="A934" t="s">
        <v>962</v>
      </c>
      <c r="B934" s="1">
        <v>45322.473611111112</v>
      </c>
      <c r="C934" t="s">
        <v>33</v>
      </c>
      <c r="D934" s="9" t="s">
        <v>26</v>
      </c>
      <c r="E934" s="2">
        <v>45530</v>
      </c>
      <c r="F934" t="b">
        <v>1</v>
      </c>
      <c r="G934" t="s">
        <v>723</v>
      </c>
      <c r="H934">
        <v>6</v>
      </c>
      <c r="I934">
        <v>5</v>
      </c>
      <c r="J934">
        <v>3</v>
      </c>
      <c r="K934">
        <v>633</v>
      </c>
      <c r="L934">
        <v>2</v>
      </c>
    </row>
    <row r="935" spans="1:12">
      <c r="A935" t="s">
        <v>963</v>
      </c>
      <c r="B935" s="1">
        <v>45306.349305555559</v>
      </c>
      <c r="C935" t="s">
        <v>24</v>
      </c>
      <c r="D935" s="9" t="s">
        <v>26</v>
      </c>
      <c r="E935" s="2">
        <v>45534</v>
      </c>
      <c r="F935" t="b">
        <v>1</v>
      </c>
      <c r="G935" t="s">
        <v>723</v>
      </c>
      <c r="H935">
        <v>6</v>
      </c>
      <c r="I935">
        <v>1</v>
      </c>
      <c r="J935">
        <v>9</v>
      </c>
      <c r="K935">
        <v>575</v>
      </c>
      <c r="L935">
        <v>0</v>
      </c>
    </row>
    <row r="936" spans="1:12">
      <c r="A936" t="s">
        <v>964</v>
      </c>
      <c r="B936" s="1">
        <v>45297</v>
      </c>
      <c r="C936" t="s">
        <v>22</v>
      </c>
      <c r="D936" s="9" t="s">
        <v>26</v>
      </c>
      <c r="E936" s="2">
        <v>45533</v>
      </c>
      <c r="F936" t="b">
        <v>1</v>
      </c>
      <c r="G936" t="s">
        <v>723</v>
      </c>
      <c r="H936">
        <v>6</v>
      </c>
      <c r="I936">
        <v>2</v>
      </c>
      <c r="J936">
        <v>1</v>
      </c>
      <c r="K936">
        <v>660</v>
      </c>
      <c r="L936">
        <v>1</v>
      </c>
    </row>
    <row r="937" spans="1:12">
      <c r="A937" t="s">
        <v>965</v>
      </c>
      <c r="B937" s="1">
        <v>45357.598611111112</v>
      </c>
      <c r="C937" t="s">
        <v>22</v>
      </c>
      <c r="D937" s="9" t="s">
        <v>14</v>
      </c>
      <c r="E937" s="2">
        <v>45526</v>
      </c>
      <c r="F937" t="b">
        <v>0</v>
      </c>
      <c r="G937" t="s">
        <v>723</v>
      </c>
      <c r="H937">
        <v>6</v>
      </c>
      <c r="I937">
        <v>7</v>
      </c>
      <c r="J937">
        <v>5</v>
      </c>
      <c r="K937">
        <v>510</v>
      </c>
      <c r="L937">
        <v>2</v>
      </c>
    </row>
    <row r="938" spans="1:12">
      <c r="A938" t="s">
        <v>966</v>
      </c>
      <c r="B938" s="1">
        <v>45455</v>
      </c>
      <c r="C938" t="s">
        <v>30</v>
      </c>
      <c r="D938" s="9" t="s">
        <v>17</v>
      </c>
      <c r="E938" s="2">
        <v>45533</v>
      </c>
      <c r="F938" t="b">
        <v>1</v>
      </c>
      <c r="G938" t="s">
        <v>723</v>
      </c>
      <c r="H938">
        <v>6</v>
      </c>
      <c r="I938">
        <v>2</v>
      </c>
      <c r="J938">
        <v>13</v>
      </c>
      <c r="K938">
        <v>502</v>
      </c>
      <c r="L938">
        <v>0</v>
      </c>
    </row>
    <row r="939" spans="1:12">
      <c r="A939" t="s">
        <v>967</v>
      </c>
      <c r="B939" s="1">
        <v>45374.10833333333</v>
      </c>
      <c r="C939" t="s">
        <v>30</v>
      </c>
      <c r="D939" s="9" t="s">
        <v>14</v>
      </c>
      <c r="E939" s="2">
        <v>45512</v>
      </c>
      <c r="F939" t="b">
        <v>0</v>
      </c>
      <c r="G939" t="s">
        <v>723</v>
      </c>
      <c r="H939">
        <v>6</v>
      </c>
      <c r="I939">
        <v>30</v>
      </c>
      <c r="J939">
        <v>0</v>
      </c>
      <c r="K939">
        <v>421</v>
      </c>
      <c r="L939">
        <v>2</v>
      </c>
    </row>
    <row r="940" spans="1:12">
      <c r="A940" t="s">
        <v>968</v>
      </c>
      <c r="B940" s="1">
        <v>45597</v>
      </c>
      <c r="C940" t="s">
        <v>37</v>
      </c>
      <c r="D940" s="9" t="s">
        <v>20</v>
      </c>
      <c r="E940" s="2">
        <v>45531</v>
      </c>
      <c r="F940" t="b">
        <v>1</v>
      </c>
      <c r="G940" t="s">
        <v>723</v>
      </c>
      <c r="H940">
        <v>6</v>
      </c>
      <c r="I940">
        <v>4</v>
      </c>
      <c r="J940">
        <v>3</v>
      </c>
      <c r="K940">
        <v>360</v>
      </c>
      <c r="L940">
        <v>1</v>
      </c>
    </row>
    <row r="941" spans="1:12">
      <c r="A941" t="s">
        <v>969</v>
      </c>
      <c r="B941" s="1">
        <v>45437.330555555556</v>
      </c>
      <c r="C941" t="s">
        <v>13</v>
      </c>
      <c r="D941" s="9" t="s">
        <v>14</v>
      </c>
      <c r="E941" s="2">
        <v>45512</v>
      </c>
      <c r="F941" t="b">
        <v>0</v>
      </c>
      <c r="G941" t="s">
        <v>723</v>
      </c>
      <c r="H941">
        <v>5</v>
      </c>
      <c r="I941">
        <v>27</v>
      </c>
      <c r="J941">
        <v>2</v>
      </c>
      <c r="K941">
        <v>608</v>
      </c>
      <c r="L941">
        <v>2</v>
      </c>
    </row>
    <row r="942" spans="1:12">
      <c r="A942" t="s">
        <v>970</v>
      </c>
      <c r="B942" s="1">
        <v>45426.422222222223</v>
      </c>
      <c r="C942" t="s">
        <v>51</v>
      </c>
      <c r="D942" s="9" t="s">
        <v>14</v>
      </c>
      <c r="E942" s="2">
        <v>45531</v>
      </c>
      <c r="F942" t="b">
        <v>1</v>
      </c>
      <c r="G942" t="s">
        <v>723</v>
      </c>
      <c r="H942">
        <v>5</v>
      </c>
      <c r="I942">
        <v>4</v>
      </c>
      <c r="J942">
        <v>5</v>
      </c>
      <c r="K942">
        <v>537</v>
      </c>
      <c r="L942">
        <v>2</v>
      </c>
    </row>
    <row r="943" spans="1:12">
      <c r="A943" t="s">
        <v>971</v>
      </c>
      <c r="B943" s="1">
        <v>45477</v>
      </c>
      <c r="C943" t="s">
        <v>19</v>
      </c>
      <c r="D943" s="9" t="s">
        <v>20</v>
      </c>
      <c r="E943" s="2">
        <v>45532</v>
      </c>
      <c r="F943" t="b">
        <v>1</v>
      </c>
      <c r="G943" t="s">
        <v>723</v>
      </c>
      <c r="H943">
        <v>5</v>
      </c>
      <c r="I943">
        <v>3</v>
      </c>
      <c r="J943">
        <v>14</v>
      </c>
      <c r="K943">
        <v>480</v>
      </c>
      <c r="L943">
        <v>0</v>
      </c>
    </row>
    <row r="944" spans="1:12">
      <c r="A944" t="s">
        <v>972</v>
      </c>
      <c r="B944" s="1">
        <v>45356.51666666667</v>
      </c>
      <c r="C944" t="s">
        <v>37</v>
      </c>
      <c r="D944" s="9" t="s">
        <v>17</v>
      </c>
      <c r="E944" s="2">
        <v>45523</v>
      </c>
      <c r="F944" t="b">
        <v>0</v>
      </c>
      <c r="G944" t="s">
        <v>723</v>
      </c>
      <c r="H944">
        <v>5</v>
      </c>
      <c r="I944">
        <v>12</v>
      </c>
      <c r="J944">
        <v>8</v>
      </c>
      <c r="K944">
        <v>507</v>
      </c>
      <c r="L944">
        <v>2</v>
      </c>
    </row>
    <row r="945" spans="1:12">
      <c r="A945" t="s">
        <v>973</v>
      </c>
      <c r="B945" s="1">
        <v>45387</v>
      </c>
      <c r="C945" t="s">
        <v>13</v>
      </c>
      <c r="D945" s="9" t="s">
        <v>14</v>
      </c>
      <c r="E945" s="2">
        <v>45533</v>
      </c>
      <c r="F945" t="b">
        <v>1</v>
      </c>
      <c r="G945" t="s">
        <v>723</v>
      </c>
      <c r="H945">
        <v>5</v>
      </c>
      <c r="I945">
        <v>2</v>
      </c>
      <c r="J945">
        <v>2</v>
      </c>
      <c r="K945">
        <v>570</v>
      </c>
      <c r="L945">
        <v>1</v>
      </c>
    </row>
    <row r="946" spans="1:12">
      <c r="A946" t="s">
        <v>974</v>
      </c>
      <c r="B946" s="1">
        <v>45461.371527777781</v>
      </c>
      <c r="C946" t="s">
        <v>22</v>
      </c>
      <c r="D946" s="9" t="s">
        <v>14</v>
      </c>
      <c r="E946" s="2">
        <v>45531</v>
      </c>
      <c r="F946" t="b">
        <v>1</v>
      </c>
      <c r="G946" t="s">
        <v>723</v>
      </c>
      <c r="H946">
        <v>5</v>
      </c>
      <c r="I946">
        <v>4</v>
      </c>
      <c r="J946">
        <v>2</v>
      </c>
      <c r="K946">
        <v>506</v>
      </c>
      <c r="L946">
        <v>2</v>
      </c>
    </row>
    <row r="947" spans="1:12">
      <c r="A947" t="s">
        <v>975</v>
      </c>
      <c r="B947" s="1">
        <v>45609.630555555559</v>
      </c>
      <c r="C947" t="s">
        <v>13</v>
      </c>
      <c r="D947" s="9" t="s">
        <v>26</v>
      </c>
      <c r="E947" s="2">
        <v>45532</v>
      </c>
      <c r="F947" t="b">
        <v>1</v>
      </c>
      <c r="G947" t="s">
        <v>723</v>
      </c>
      <c r="H947">
        <v>5</v>
      </c>
      <c r="I947">
        <v>3</v>
      </c>
      <c r="J947">
        <v>1</v>
      </c>
      <c r="K947">
        <v>549</v>
      </c>
      <c r="L947">
        <v>2</v>
      </c>
    </row>
    <row r="948" spans="1:12">
      <c r="A948" t="s">
        <v>976</v>
      </c>
      <c r="B948" s="1">
        <v>45445</v>
      </c>
      <c r="C948" t="s">
        <v>13</v>
      </c>
      <c r="D948" s="9" t="s">
        <v>14</v>
      </c>
      <c r="E948" s="2">
        <v>45516</v>
      </c>
      <c r="F948" t="b">
        <v>0</v>
      </c>
      <c r="G948" t="s">
        <v>723</v>
      </c>
      <c r="H948">
        <v>5</v>
      </c>
      <c r="I948">
        <v>13</v>
      </c>
      <c r="J948">
        <v>2</v>
      </c>
      <c r="K948">
        <v>512</v>
      </c>
      <c r="L948">
        <v>1</v>
      </c>
    </row>
    <row r="949" spans="1:12">
      <c r="A949" t="s">
        <v>977</v>
      </c>
      <c r="B949" s="1">
        <v>45406.229861111111</v>
      </c>
      <c r="C949" t="s">
        <v>22</v>
      </c>
      <c r="D949" s="9" t="s">
        <v>20</v>
      </c>
      <c r="E949" s="2">
        <v>45520</v>
      </c>
      <c r="F949" t="b">
        <v>0</v>
      </c>
      <c r="G949" t="s">
        <v>723</v>
      </c>
      <c r="H949">
        <v>5</v>
      </c>
      <c r="I949">
        <v>1</v>
      </c>
      <c r="J949">
        <v>7</v>
      </c>
      <c r="K949">
        <v>417</v>
      </c>
      <c r="L949">
        <v>2</v>
      </c>
    </row>
    <row r="950" spans="1:12">
      <c r="A950" t="s">
        <v>978</v>
      </c>
      <c r="B950" s="1">
        <v>45538</v>
      </c>
      <c r="C950" t="s">
        <v>13</v>
      </c>
      <c r="D950" s="9" t="s">
        <v>14</v>
      </c>
      <c r="E950" s="2">
        <v>45530</v>
      </c>
      <c r="F950" t="b">
        <v>1</v>
      </c>
      <c r="G950" t="s">
        <v>723</v>
      </c>
      <c r="H950">
        <v>5</v>
      </c>
      <c r="I950">
        <v>5</v>
      </c>
      <c r="J950">
        <v>1</v>
      </c>
      <c r="K950">
        <v>419</v>
      </c>
      <c r="L950">
        <v>1</v>
      </c>
    </row>
    <row r="951" spans="1:12">
      <c r="A951" t="s">
        <v>979</v>
      </c>
      <c r="B951" s="1">
        <v>45565.438194444447</v>
      </c>
      <c r="C951" t="s">
        <v>13</v>
      </c>
      <c r="D951" s="9" t="s">
        <v>26</v>
      </c>
      <c r="E951" s="2">
        <v>45533</v>
      </c>
      <c r="F951" t="b">
        <v>1</v>
      </c>
      <c r="G951" t="s">
        <v>723</v>
      </c>
      <c r="H951">
        <v>5</v>
      </c>
      <c r="I951">
        <v>2</v>
      </c>
      <c r="J951">
        <v>3</v>
      </c>
      <c r="K951">
        <v>557</v>
      </c>
      <c r="L951">
        <v>2</v>
      </c>
    </row>
    <row r="952" spans="1:12">
      <c r="A952" t="s">
        <v>980</v>
      </c>
      <c r="B952" s="1">
        <v>45475</v>
      </c>
      <c r="C952" t="s">
        <v>30</v>
      </c>
      <c r="D952" s="9" t="s">
        <v>20</v>
      </c>
      <c r="E952" s="2">
        <v>45532</v>
      </c>
      <c r="F952" t="b">
        <v>1</v>
      </c>
      <c r="G952" t="s">
        <v>723</v>
      </c>
      <c r="H952">
        <v>5</v>
      </c>
      <c r="I952">
        <v>3</v>
      </c>
      <c r="J952">
        <v>6</v>
      </c>
      <c r="K952">
        <v>482</v>
      </c>
      <c r="L952">
        <v>1</v>
      </c>
    </row>
    <row r="953" spans="1:12">
      <c r="A953" t="s">
        <v>981</v>
      </c>
      <c r="B953" s="1">
        <v>45635</v>
      </c>
      <c r="C953" t="s">
        <v>37</v>
      </c>
      <c r="D953" s="9" t="s">
        <v>14</v>
      </c>
      <c r="E953" s="2">
        <v>45521</v>
      </c>
      <c r="F953" t="b">
        <v>0</v>
      </c>
      <c r="G953" t="s">
        <v>723</v>
      </c>
      <c r="H953">
        <v>5</v>
      </c>
      <c r="I953">
        <v>18</v>
      </c>
      <c r="J953">
        <v>1</v>
      </c>
      <c r="K953">
        <v>322</v>
      </c>
      <c r="L953">
        <v>1</v>
      </c>
    </row>
    <row r="954" spans="1:12">
      <c r="A954" t="s">
        <v>982</v>
      </c>
      <c r="B954" s="1">
        <v>45603.6875</v>
      </c>
      <c r="C954" t="s">
        <v>22</v>
      </c>
      <c r="D954" s="9" t="s">
        <v>26</v>
      </c>
      <c r="E954" s="2">
        <v>45531</v>
      </c>
      <c r="F954" t="b">
        <v>1</v>
      </c>
      <c r="G954" t="s">
        <v>723</v>
      </c>
      <c r="H954">
        <v>5</v>
      </c>
      <c r="I954">
        <v>4</v>
      </c>
      <c r="J954">
        <v>3</v>
      </c>
      <c r="K954">
        <v>481</v>
      </c>
      <c r="L954">
        <v>2</v>
      </c>
    </row>
    <row r="955" spans="1:12">
      <c r="A955" t="s">
        <v>983</v>
      </c>
      <c r="B955" s="1">
        <v>45624.581944444442</v>
      </c>
      <c r="C955" t="s">
        <v>33</v>
      </c>
      <c r="D955" s="9" t="s">
        <v>26</v>
      </c>
      <c r="E955" s="2">
        <v>45533</v>
      </c>
      <c r="F955" t="b">
        <v>1</v>
      </c>
      <c r="G955" t="s">
        <v>723</v>
      </c>
      <c r="H955">
        <v>5</v>
      </c>
      <c r="I955">
        <v>2</v>
      </c>
      <c r="J955">
        <v>2</v>
      </c>
      <c r="K955">
        <v>423</v>
      </c>
      <c r="L955">
        <v>2</v>
      </c>
    </row>
    <row r="956" spans="1:12">
      <c r="A956" t="s">
        <v>984</v>
      </c>
      <c r="B956" s="1">
        <v>45608.065972222219</v>
      </c>
      <c r="C956" t="s">
        <v>13</v>
      </c>
      <c r="D956" s="9" t="s">
        <v>14</v>
      </c>
      <c r="E956" s="2">
        <v>45534</v>
      </c>
      <c r="F956" t="b">
        <v>1</v>
      </c>
      <c r="G956" t="s">
        <v>723</v>
      </c>
      <c r="H956">
        <v>5</v>
      </c>
      <c r="I956">
        <v>1</v>
      </c>
      <c r="J956">
        <v>0</v>
      </c>
      <c r="K956">
        <v>429</v>
      </c>
      <c r="L956">
        <v>2</v>
      </c>
    </row>
    <row r="957" spans="1:12">
      <c r="A957" t="s">
        <v>985</v>
      </c>
      <c r="B957" s="1">
        <v>45404.490972222222</v>
      </c>
      <c r="C957" t="s">
        <v>13</v>
      </c>
      <c r="D957" s="9" t="s">
        <v>17</v>
      </c>
      <c r="E957" s="2">
        <v>45516</v>
      </c>
      <c r="F957" t="b">
        <v>0</v>
      </c>
      <c r="G957" t="s">
        <v>723</v>
      </c>
      <c r="H957">
        <v>5</v>
      </c>
      <c r="I957">
        <v>16</v>
      </c>
      <c r="J957">
        <v>15</v>
      </c>
      <c r="K957">
        <v>494</v>
      </c>
      <c r="L957">
        <v>0</v>
      </c>
    </row>
    <row r="958" spans="1:12">
      <c r="A958" t="s">
        <v>986</v>
      </c>
      <c r="B958" s="1">
        <v>45386</v>
      </c>
      <c r="C958" t="s">
        <v>13</v>
      </c>
      <c r="D958" s="9" t="s">
        <v>26</v>
      </c>
      <c r="E958" s="2">
        <v>45532</v>
      </c>
      <c r="F958" t="b">
        <v>0</v>
      </c>
      <c r="G958" t="s">
        <v>723</v>
      </c>
      <c r="H958">
        <v>4</v>
      </c>
      <c r="I958">
        <v>26</v>
      </c>
      <c r="J958">
        <v>1</v>
      </c>
      <c r="K958">
        <v>571</v>
      </c>
      <c r="L958">
        <v>1</v>
      </c>
    </row>
    <row r="959" spans="1:12">
      <c r="A959" t="s">
        <v>987</v>
      </c>
      <c r="B959" s="1">
        <v>45508</v>
      </c>
      <c r="C959" t="s">
        <v>13</v>
      </c>
      <c r="D959" s="9" t="s">
        <v>14</v>
      </c>
      <c r="E959" s="2">
        <v>45511</v>
      </c>
      <c r="F959" t="b">
        <v>0</v>
      </c>
      <c r="G959" t="s">
        <v>723</v>
      </c>
      <c r="H959">
        <v>4</v>
      </c>
      <c r="I959">
        <v>10</v>
      </c>
      <c r="J959">
        <v>2</v>
      </c>
      <c r="K959">
        <v>449</v>
      </c>
      <c r="L959">
        <v>1</v>
      </c>
    </row>
    <row r="960" spans="1:12">
      <c r="A960" t="s">
        <v>988</v>
      </c>
      <c r="B960" s="1">
        <v>45374.338888888888</v>
      </c>
      <c r="C960" t="s">
        <v>22</v>
      </c>
      <c r="D960" s="9" t="s">
        <v>20</v>
      </c>
      <c r="E960" s="2">
        <v>45533</v>
      </c>
      <c r="F960" t="b">
        <v>1</v>
      </c>
      <c r="G960" t="s">
        <v>723</v>
      </c>
      <c r="H960">
        <v>4</v>
      </c>
      <c r="I960">
        <v>2</v>
      </c>
      <c r="J960">
        <v>7</v>
      </c>
      <c r="K960">
        <v>487</v>
      </c>
      <c r="L960">
        <v>2</v>
      </c>
    </row>
    <row r="961" spans="1:12">
      <c r="A961" t="s">
        <v>989</v>
      </c>
      <c r="B961" s="1">
        <v>45571</v>
      </c>
      <c r="C961" t="s">
        <v>30</v>
      </c>
      <c r="D961" s="9" t="s">
        <v>26</v>
      </c>
      <c r="E961" s="2">
        <v>45532</v>
      </c>
      <c r="F961" t="b">
        <v>1</v>
      </c>
      <c r="G961" t="s">
        <v>723</v>
      </c>
      <c r="H961">
        <v>4</v>
      </c>
      <c r="I961">
        <v>3</v>
      </c>
      <c r="J961">
        <v>3</v>
      </c>
      <c r="K961">
        <v>386</v>
      </c>
      <c r="L961">
        <v>1</v>
      </c>
    </row>
    <row r="962" spans="1:12">
      <c r="A962" t="s">
        <v>990</v>
      </c>
      <c r="B962" s="1">
        <v>45384.15347222222</v>
      </c>
      <c r="C962" t="s">
        <v>24</v>
      </c>
      <c r="D962" s="9" t="s">
        <v>14</v>
      </c>
      <c r="E962" s="2">
        <v>45533</v>
      </c>
      <c r="F962" t="b">
        <v>1</v>
      </c>
      <c r="G962" t="s">
        <v>723</v>
      </c>
      <c r="H962">
        <v>4</v>
      </c>
      <c r="I962">
        <v>2</v>
      </c>
      <c r="J962">
        <v>1</v>
      </c>
      <c r="K962">
        <v>530</v>
      </c>
      <c r="L962">
        <v>2</v>
      </c>
    </row>
    <row r="963" spans="1:12">
      <c r="A963" t="s">
        <v>991</v>
      </c>
      <c r="B963" s="1">
        <v>45300</v>
      </c>
      <c r="C963" t="s">
        <v>37</v>
      </c>
      <c r="D963" s="9" t="s">
        <v>14</v>
      </c>
      <c r="E963" s="2">
        <v>45510</v>
      </c>
      <c r="F963" t="b">
        <v>0</v>
      </c>
      <c r="G963" t="s">
        <v>723</v>
      </c>
      <c r="H963">
        <v>4</v>
      </c>
      <c r="I963">
        <v>25</v>
      </c>
      <c r="J963">
        <v>2</v>
      </c>
      <c r="K963">
        <v>657</v>
      </c>
      <c r="L963">
        <v>1</v>
      </c>
    </row>
    <row r="964" spans="1:12">
      <c r="A964" t="s">
        <v>992</v>
      </c>
      <c r="B964" s="1">
        <v>45556.01666666667</v>
      </c>
      <c r="C964" t="s">
        <v>13</v>
      </c>
      <c r="D964" s="9" t="s">
        <v>14</v>
      </c>
      <c r="E964" s="2">
        <v>45525</v>
      </c>
      <c r="F964" t="b">
        <v>0</v>
      </c>
      <c r="G964" t="s">
        <v>723</v>
      </c>
      <c r="H964">
        <v>4</v>
      </c>
      <c r="I964">
        <v>13</v>
      </c>
      <c r="J964">
        <v>2</v>
      </c>
      <c r="K964">
        <v>362</v>
      </c>
      <c r="L964">
        <v>2</v>
      </c>
    </row>
    <row r="965" spans="1:12">
      <c r="A965" t="s">
        <v>993</v>
      </c>
      <c r="B965" s="1">
        <v>45300</v>
      </c>
      <c r="C965" t="s">
        <v>37</v>
      </c>
      <c r="D965" s="9" t="s">
        <v>14</v>
      </c>
      <c r="E965" s="2">
        <v>45516</v>
      </c>
      <c r="F965" t="b">
        <v>0</v>
      </c>
      <c r="G965" t="s">
        <v>723</v>
      </c>
      <c r="H965">
        <v>4</v>
      </c>
      <c r="I965">
        <v>12</v>
      </c>
      <c r="J965">
        <v>1</v>
      </c>
      <c r="K965">
        <v>657</v>
      </c>
      <c r="L965">
        <v>1</v>
      </c>
    </row>
    <row r="966" spans="1:12">
      <c r="A966" t="s">
        <v>994</v>
      </c>
      <c r="B966" s="1">
        <v>45415</v>
      </c>
      <c r="C966" t="s">
        <v>13</v>
      </c>
      <c r="D966" s="9" t="s">
        <v>14</v>
      </c>
      <c r="E966" s="2">
        <v>45534</v>
      </c>
      <c r="F966" t="b">
        <v>0</v>
      </c>
      <c r="G966" t="s">
        <v>723</v>
      </c>
      <c r="H966">
        <v>4</v>
      </c>
      <c r="I966">
        <v>9</v>
      </c>
      <c r="J966">
        <v>0</v>
      </c>
      <c r="K966">
        <v>542</v>
      </c>
      <c r="L966">
        <v>1</v>
      </c>
    </row>
    <row r="967" spans="1:12">
      <c r="A967" t="s">
        <v>995</v>
      </c>
      <c r="B967" s="1">
        <v>45569.820138888892</v>
      </c>
      <c r="C967" t="s">
        <v>33</v>
      </c>
      <c r="D967" s="9" t="s">
        <v>14</v>
      </c>
      <c r="E967" s="2">
        <v>45531</v>
      </c>
      <c r="F967" t="b">
        <v>0</v>
      </c>
      <c r="G967" t="s">
        <v>723</v>
      </c>
      <c r="H967">
        <v>4</v>
      </c>
      <c r="I967">
        <v>24</v>
      </c>
      <c r="J967">
        <v>1</v>
      </c>
      <c r="K967">
        <v>611</v>
      </c>
      <c r="L967">
        <v>2</v>
      </c>
    </row>
    <row r="968" spans="1:12">
      <c r="A968" t="s">
        <v>996</v>
      </c>
      <c r="B968" s="1">
        <v>45415.967361111114</v>
      </c>
      <c r="C968" t="s">
        <v>13</v>
      </c>
      <c r="D968" s="9" t="s">
        <v>20</v>
      </c>
      <c r="E968" s="2">
        <v>45516</v>
      </c>
      <c r="F968" t="b">
        <v>0</v>
      </c>
      <c r="G968" t="s">
        <v>723</v>
      </c>
      <c r="H968">
        <v>3</v>
      </c>
      <c r="I968">
        <v>6</v>
      </c>
      <c r="J968">
        <v>7</v>
      </c>
      <c r="K968">
        <v>473</v>
      </c>
      <c r="L968">
        <v>2</v>
      </c>
    </row>
    <row r="969" spans="1:12">
      <c r="A969" t="s">
        <v>997</v>
      </c>
      <c r="B969" s="1">
        <v>45485</v>
      </c>
      <c r="C969" t="s">
        <v>37</v>
      </c>
      <c r="D969" s="9" t="s">
        <v>20</v>
      </c>
      <c r="E969" s="2">
        <v>45533</v>
      </c>
      <c r="F969" t="b">
        <v>1</v>
      </c>
      <c r="G969" t="s">
        <v>723</v>
      </c>
      <c r="H969">
        <v>3</v>
      </c>
      <c r="I969">
        <v>2</v>
      </c>
      <c r="J969">
        <v>6</v>
      </c>
      <c r="K969">
        <v>472</v>
      </c>
      <c r="L969">
        <v>1</v>
      </c>
    </row>
    <row r="970" spans="1:12">
      <c r="A970" t="s">
        <v>998</v>
      </c>
      <c r="B970" s="1">
        <v>45368.164583333331</v>
      </c>
      <c r="C970" t="s">
        <v>13</v>
      </c>
      <c r="D970" s="9" t="s">
        <v>14</v>
      </c>
      <c r="E970" s="2">
        <v>45518</v>
      </c>
      <c r="F970" t="b">
        <v>0</v>
      </c>
      <c r="G970" t="s">
        <v>723</v>
      </c>
      <c r="H970">
        <v>3</v>
      </c>
      <c r="I970">
        <v>28</v>
      </c>
      <c r="J970">
        <v>2</v>
      </c>
      <c r="K970">
        <v>575</v>
      </c>
      <c r="L970">
        <v>2</v>
      </c>
    </row>
    <row r="971" spans="1:12">
      <c r="A971" t="s">
        <v>999</v>
      </c>
      <c r="B971" s="1">
        <v>45427.236805555556</v>
      </c>
      <c r="C971" t="s">
        <v>24</v>
      </c>
      <c r="D971" s="9" t="s">
        <v>14</v>
      </c>
      <c r="E971" s="2">
        <v>45510</v>
      </c>
      <c r="F971" t="b">
        <v>0</v>
      </c>
      <c r="G971" t="s">
        <v>723</v>
      </c>
      <c r="H971">
        <v>3</v>
      </c>
      <c r="I971">
        <v>10</v>
      </c>
      <c r="J971">
        <v>3</v>
      </c>
      <c r="K971">
        <v>514</v>
      </c>
      <c r="L971">
        <v>2</v>
      </c>
    </row>
    <row r="972" spans="1:12">
      <c r="A972" t="s">
        <v>1000</v>
      </c>
      <c r="B972" s="1">
        <v>45452.354861111111</v>
      </c>
      <c r="C972" t="s">
        <v>37</v>
      </c>
      <c r="D972" s="9" t="s">
        <v>20</v>
      </c>
      <c r="E972" s="2">
        <v>45533</v>
      </c>
      <c r="F972" t="b">
        <v>1</v>
      </c>
      <c r="G972" t="s">
        <v>723</v>
      </c>
      <c r="H972">
        <v>3</v>
      </c>
      <c r="I972">
        <v>2</v>
      </c>
      <c r="J972">
        <v>2</v>
      </c>
      <c r="K972">
        <v>321</v>
      </c>
      <c r="L972">
        <v>2</v>
      </c>
    </row>
    <row r="973" spans="1:12">
      <c r="A973" t="s">
        <v>1001</v>
      </c>
      <c r="B973" s="1">
        <v>45337.904166666667</v>
      </c>
      <c r="C973" t="s">
        <v>24</v>
      </c>
      <c r="D973" s="9" t="s">
        <v>20</v>
      </c>
      <c r="E973" s="2">
        <v>45534</v>
      </c>
      <c r="F973" t="b">
        <v>1</v>
      </c>
      <c r="G973" t="s">
        <v>723</v>
      </c>
      <c r="H973">
        <v>3</v>
      </c>
      <c r="I973">
        <v>1</v>
      </c>
      <c r="J973">
        <v>5</v>
      </c>
      <c r="K973">
        <v>591</v>
      </c>
      <c r="L973">
        <v>2</v>
      </c>
    </row>
    <row r="974" spans="1:12">
      <c r="A974" t="s">
        <v>1002</v>
      </c>
      <c r="B974" s="1">
        <v>45330</v>
      </c>
      <c r="C974" t="s">
        <v>22</v>
      </c>
      <c r="D974" s="9" t="s">
        <v>26</v>
      </c>
      <c r="E974" s="2">
        <v>45511</v>
      </c>
      <c r="F974" t="b">
        <v>0</v>
      </c>
      <c r="G974" t="s">
        <v>723</v>
      </c>
      <c r="H974">
        <v>3</v>
      </c>
      <c r="I974">
        <v>24</v>
      </c>
      <c r="J974">
        <v>5</v>
      </c>
      <c r="K974">
        <v>627</v>
      </c>
      <c r="L974">
        <v>1</v>
      </c>
    </row>
    <row r="975" spans="1:12">
      <c r="A975" t="s">
        <v>1003</v>
      </c>
      <c r="B975" s="1">
        <v>45359</v>
      </c>
      <c r="C975" t="s">
        <v>19</v>
      </c>
      <c r="D975" s="9" t="s">
        <v>14</v>
      </c>
      <c r="E975" s="2">
        <v>45533</v>
      </c>
      <c r="F975" t="b">
        <v>1</v>
      </c>
      <c r="G975" t="s">
        <v>723</v>
      </c>
      <c r="H975">
        <v>3</v>
      </c>
      <c r="I975">
        <v>2</v>
      </c>
      <c r="J975">
        <v>1</v>
      </c>
      <c r="K975">
        <v>598</v>
      </c>
      <c r="L975">
        <v>1</v>
      </c>
    </row>
    <row r="976" spans="1:12">
      <c r="A976" t="s">
        <v>1004</v>
      </c>
      <c r="B976" s="1">
        <v>45536.539583333331</v>
      </c>
      <c r="C976" t="s">
        <v>13</v>
      </c>
      <c r="D976" s="9" t="s">
        <v>14</v>
      </c>
      <c r="E976" s="2">
        <v>45509</v>
      </c>
      <c r="F976" t="b">
        <v>0</v>
      </c>
      <c r="G976" t="s">
        <v>723</v>
      </c>
      <c r="H976">
        <v>3</v>
      </c>
      <c r="I976">
        <v>13</v>
      </c>
      <c r="J976">
        <v>2</v>
      </c>
      <c r="K976">
        <v>351</v>
      </c>
      <c r="L976">
        <v>2</v>
      </c>
    </row>
    <row r="977" spans="1:12">
      <c r="A977" t="s">
        <v>1005</v>
      </c>
      <c r="B977" s="1">
        <v>45434.786111111112</v>
      </c>
      <c r="C977" t="s">
        <v>37</v>
      </c>
      <c r="D977" s="9" t="s">
        <v>26</v>
      </c>
      <c r="E977" s="2">
        <v>45534</v>
      </c>
      <c r="F977" t="b">
        <v>1</v>
      </c>
      <c r="G977" t="s">
        <v>723</v>
      </c>
      <c r="H977">
        <v>3</v>
      </c>
      <c r="I977">
        <v>1</v>
      </c>
      <c r="J977">
        <v>8</v>
      </c>
      <c r="K977">
        <v>562</v>
      </c>
      <c r="L977">
        <v>2</v>
      </c>
    </row>
    <row r="978" spans="1:12">
      <c r="A978" t="s">
        <v>1006</v>
      </c>
      <c r="B978" s="1">
        <v>45416.980555555558</v>
      </c>
      <c r="C978" t="s">
        <v>24</v>
      </c>
      <c r="D978" s="9" t="s">
        <v>20</v>
      </c>
      <c r="E978" s="2">
        <v>45534</v>
      </c>
      <c r="F978" t="b">
        <v>1</v>
      </c>
      <c r="G978" t="s">
        <v>723</v>
      </c>
      <c r="H978">
        <v>3</v>
      </c>
      <c r="I978">
        <v>1</v>
      </c>
      <c r="J978">
        <v>7</v>
      </c>
      <c r="K978">
        <v>521</v>
      </c>
      <c r="L978">
        <v>2</v>
      </c>
    </row>
    <row r="979" spans="1:12">
      <c r="A979" t="s">
        <v>1007</v>
      </c>
      <c r="B979" s="1">
        <v>45423</v>
      </c>
      <c r="C979" t="s">
        <v>30</v>
      </c>
      <c r="D979" s="9" t="s">
        <v>14</v>
      </c>
      <c r="E979" s="2">
        <v>45513</v>
      </c>
      <c r="F979" t="b">
        <v>0</v>
      </c>
      <c r="G979" t="s">
        <v>723</v>
      </c>
      <c r="H979">
        <v>3</v>
      </c>
      <c r="I979">
        <v>5</v>
      </c>
      <c r="J979">
        <v>4</v>
      </c>
      <c r="K979">
        <v>534</v>
      </c>
      <c r="L979">
        <v>1</v>
      </c>
    </row>
    <row r="980" spans="1:12">
      <c r="A980" t="s">
        <v>1008</v>
      </c>
      <c r="B980" s="1">
        <v>45341.919444444444</v>
      </c>
      <c r="C980" t="s">
        <v>33</v>
      </c>
      <c r="D980" s="9" t="s">
        <v>20</v>
      </c>
      <c r="E980" s="2">
        <v>45534</v>
      </c>
      <c r="F980" t="b">
        <v>1</v>
      </c>
      <c r="G980" t="s">
        <v>723</v>
      </c>
      <c r="H980">
        <v>3</v>
      </c>
      <c r="I980">
        <v>1</v>
      </c>
      <c r="J980">
        <v>2</v>
      </c>
      <c r="K980">
        <v>564</v>
      </c>
      <c r="L980">
        <v>2</v>
      </c>
    </row>
    <row r="981" spans="1:12">
      <c r="A981" t="s">
        <v>1009</v>
      </c>
      <c r="B981" s="1">
        <v>45489.511805555558</v>
      </c>
      <c r="C981" t="s">
        <v>13</v>
      </c>
      <c r="D981" s="9" t="s">
        <v>26</v>
      </c>
      <c r="E981" s="2">
        <v>45534</v>
      </c>
      <c r="F981" t="b">
        <v>1</v>
      </c>
      <c r="G981" t="s">
        <v>723</v>
      </c>
      <c r="H981">
        <v>3</v>
      </c>
      <c r="I981">
        <v>1</v>
      </c>
      <c r="J981">
        <v>1</v>
      </c>
      <c r="K981">
        <v>656</v>
      </c>
      <c r="L981">
        <v>2</v>
      </c>
    </row>
    <row r="982" spans="1:12">
      <c r="A982" t="s">
        <v>1010</v>
      </c>
      <c r="B982" s="1">
        <v>45622.633333333331</v>
      </c>
      <c r="C982" t="s">
        <v>33</v>
      </c>
      <c r="D982" s="9" t="s">
        <v>20</v>
      </c>
      <c r="E982" s="2">
        <v>45534</v>
      </c>
      <c r="F982" t="b">
        <v>1</v>
      </c>
      <c r="G982" t="s">
        <v>723</v>
      </c>
      <c r="H982">
        <v>3</v>
      </c>
      <c r="I982">
        <v>1</v>
      </c>
      <c r="J982">
        <v>5</v>
      </c>
      <c r="K982">
        <v>621</v>
      </c>
      <c r="L982">
        <v>2</v>
      </c>
    </row>
    <row r="983" spans="1:12">
      <c r="A983" t="s">
        <v>1011</v>
      </c>
      <c r="B983" s="1">
        <v>45479</v>
      </c>
      <c r="C983" t="s">
        <v>24</v>
      </c>
      <c r="D983" s="9" t="s">
        <v>26</v>
      </c>
      <c r="E983" s="2">
        <v>45533</v>
      </c>
      <c r="F983" t="b">
        <v>1</v>
      </c>
      <c r="G983" t="s">
        <v>723</v>
      </c>
      <c r="H983">
        <v>2</v>
      </c>
      <c r="I983">
        <v>2</v>
      </c>
      <c r="J983">
        <v>1</v>
      </c>
      <c r="K983">
        <v>478</v>
      </c>
      <c r="L983">
        <v>1</v>
      </c>
    </row>
    <row r="984" spans="1:12">
      <c r="A984" t="s">
        <v>1012</v>
      </c>
      <c r="B984" s="1">
        <v>45417</v>
      </c>
      <c r="C984" t="s">
        <v>13</v>
      </c>
      <c r="D984" s="9" t="s">
        <v>14</v>
      </c>
      <c r="E984" s="2">
        <v>45533</v>
      </c>
      <c r="F984" t="b">
        <v>0</v>
      </c>
      <c r="G984" t="s">
        <v>723</v>
      </c>
      <c r="H984">
        <v>2</v>
      </c>
      <c r="I984">
        <v>6</v>
      </c>
      <c r="J984">
        <v>1</v>
      </c>
      <c r="K984">
        <v>540</v>
      </c>
      <c r="L984">
        <v>1</v>
      </c>
    </row>
    <row r="985" spans="1:12">
      <c r="A985" t="s">
        <v>1013</v>
      </c>
      <c r="B985" s="1">
        <v>45587.290277777778</v>
      </c>
      <c r="C985" t="s">
        <v>13</v>
      </c>
      <c r="D985" s="9" t="s">
        <v>20</v>
      </c>
      <c r="E985" s="2">
        <v>45533</v>
      </c>
      <c r="F985" t="b">
        <v>1</v>
      </c>
      <c r="G985" t="s">
        <v>723</v>
      </c>
      <c r="H985">
        <v>2</v>
      </c>
      <c r="I985">
        <v>2</v>
      </c>
      <c r="J985">
        <v>5</v>
      </c>
      <c r="K985">
        <v>453</v>
      </c>
      <c r="L985">
        <v>2</v>
      </c>
    </row>
    <row r="986" spans="1:12">
      <c r="A986" t="s">
        <v>1014</v>
      </c>
      <c r="B986" s="1">
        <v>45446</v>
      </c>
      <c r="C986" t="s">
        <v>13</v>
      </c>
      <c r="D986" s="9" t="s">
        <v>26</v>
      </c>
      <c r="E986" s="2">
        <v>45515</v>
      </c>
      <c r="F986" t="b">
        <v>0</v>
      </c>
      <c r="G986" t="s">
        <v>723</v>
      </c>
      <c r="H986">
        <v>2</v>
      </c>
      <c r="I986">
        <v>28</v>
      </c>
      <c r="J986">
        <v>2</v>
      </c>
      <c r="K986">
        <v>511</v>
      </c>
      <c r="L986">
        <v>1</v>
      </c>
    </row>
    <row r="987" spans="1:12">
      <c r="A987" t="s">
        <v>1015</v>
      </c>
      <c r="B987" s="1">
        <v>45443.48541666667</v>
      </c>
      <c r="C987" t="s">
        <v>13</v>
      </c>
      <c r="D987" s="9" t="s">
        <v>14</v>
      </c>
      <c r="E987" s="2">
        <v>45519</v>
      </c>
      <c r="F987" t="b">
        <v>0</v>
      </c>
      <c r="G987" t="s">
        <v>723</v>
      </c>
      <c r="H987">
        <v>2</v>
      </c>
      <c r="I987">
        <v>3</v>
      </c>
      <c r="J987">
        <v>3</v>
      </c>
      <c r="K987">
        <v>349</v>
      </c>
      <c r="L987">
        <v>2</v>
      </c>
    </row>
    <row r="988" spans="1:12">
      <c r="A988" t="s">
        <v>1016</v>
      </c>
      <c r="B988" s="1">
        <v>45481.03125</v>
      </c>
      <c r="C988" t="s">
        <v>19</v>
      </c>
      <c r="D988" s="9" t="s">
        <v>26</v>
      </c>
      <c r="E988" s="2">
        <v>45534</v>
      </c>
      <c r="F988" t="b">
        <v>1</v>
      </c>
      <c r="G988" t="s">
        <v>723</v>
      </c>
      <c r="H988">
        <v>2</v>
      </c>
      <c r="I988">
        <v>1</v>
      </c>
      <c r="J988">
        <v>3</v>
      </c>
      <c r="K988">
        <v>656</v>
      </c>
      <c r="L988">
        <v>2</v>
      </c>
    </row>
    <row r="989" spans="1:12">
      <c r="A989" t="s">
        <v>1017</v>
      </c>
      <c r="B989" s="1">
        <v>45596.605555555558</v>
      </c>
      <c r="C989" t="s">
        <v>24</v>
      </c>
      <c r="D989" s="9" t="s">
        <v>26</v>
      </c>
      <c r="E989" s="2">
        <v>45533</v>
      </c>
      <c r="F989" t="b">
        <v>1</v>
      </c>
      <c r="G989" t="s">
        <v>723</v>
      </c>
      <c r="H989">
        <v>2</v>
      </c>
      <c r="I989">
        <v>2</v>
      </c>
      <c r="J989">
        <v>12</v>
      </c>
      <c r="K989">
        <v>521</v>
      </c>
      <c r="L989">
        <v>0</v>
      </c>
    </row>
    <row r="990" spans="1:12">
      <c r="A990" t="s">
        <v>1018</v>
      </c>
      <c r="B990" s="1">
        <v>45483</v>
      </c>
      <c r="C990" t="s">
        <v>37</v>
      </c>
      <c r="D990" s="9" t="s">
        <v>20</v>
      </c>
      <c r="E990" s="2">
        <v>45534</v>
      </c>
      <c r="F990" t="b">
        <v>1</v>
      </c>
      <c r="G990" t="s">
        <v>723</v>
      </c>
      <c r="H990">
        <v>2</v>
      </c>
      <c r="I990">
        <v>1</v>
      </c>
      <c r="J990">
        <v>6</v>
      </c>
      <c r="K990">
        <v>474</v>
      </c>
      <c r="L990">
        <v>1</v>
      </c>
    </row>
    <row r="991" spans="1:12">
      <c r="A991" t="s">
        <v>1019</v>
      </c>
      <c r="B991" s="1">
        <v>45386.431944444441</v>
      </c>
      <c r="C991" t="s">
        <v>24</v>
      </c>
      <c r="D991" s="9" t="s">
        <v>26</v>
      </c>
      <c r="E991" s="2">
        <v>45506</v>
      </c>
      <c r="F991" t="b">
        <v>0</v>
      </c>
      <c r="G991" t="s">
        <v>723</v>
      </c>
      <c r="H991">
        <v>2</v>
      </c>
      <c r="I991">
        <v>2</v>
      </c>
      <c r="J991">
        <v>3</v>
      </c>
      <c r="K991">
        <v>618</v>
      </c>
      <c r="L991">
        <v>2</v>
      </c>
    </row>
    <row r="992" spans="1:12">
      <c r="A992" t="s">
        <v>1020</v>
      </c>
      <c r="B992" s="1">
        <v>45444</v>
      </c>
      <c r="C992" t="s">
        <v>30</v>
      </c>
      <c r="D992" s="9" t="s">
        <v>17</v>
      </c>
      <c r="E992" s="2">
        <v>45516</v>
      </c>
      <c r="F992" t="b">
        <v>0</v>
      </c>
      <c r="G992" t="s">
        <v>723</v>
      </c>
      <c r="H992">
        <v>2</v>
      </c>
      <c r="I992">
        <v>15</v>
      </c>
      <c r="J992">
        <v>8</v>
      </c>
      <c r="K992">
        <v>513</v>
      </c>
      <c r="L992">
        <v>0</v>
      </c>
    </row>
    <row r="993" spans="1:12">
      <c r="A993" t="s">
        <v>1021</v>
      </c>
      <c r="B993" s="1">
        <v>45457.086805555555</v>
      </c>
      <c r="C993" t="s">
        <v>19</v>
      </c>
      <c r="D993" s="9" t="s">
        <v>14</v>
      </c>
      <c r="E993" s="2">
        <v>45522</v>
      </c>
      <c r="F993" t="b">
        <v>0</v>
      </c>
      <c r="G993" t="s">
        <v>723</v>
      </c>
      <c r="H993">
        <v>2</v>
      </c>
      <c r="I993">
        <v>8</v>
      </c>
      <c r="J993">
        <v>1</v>
      </c>
      <c r="K993">
        <v>427</v>
      </c>
      <c r="L993">
        <v>2</v>
      </c>
    </row>
    <row r="994" spans="1:12">
      <c r="A994" t="s">
        <v>1022</v>
      </c>
      <c r="B994" s="1">
        <v>45416</v>
      </c>
      <c r="C994" t="s">
        <v>13</v>
      </c>
      <c r="D994" s="9" t="s">
        <v>17</v>
      </c>
      <c r="E994" s="2">
        <v>45534</v>
      </c>
      <c r="F994" t="b">
        <v>1</v>
      </c>
      <c r="G994" t="s">
        <v>723</v>
      </c>
      <c r="H994">
        <v>2</v>
      </c>
      <c r="I994">
        <v>1</v>
      </c>
      <c r="J994">
        <v>11</v>
      </c>
      <c r="K994">
        <v>541</v>
      </c>
      <c r="L994">
        <v>0</v>
      </c>
    </row>
    <row r="995" spans="1:12">
      <c r="A995" t="s">
        <v>1023</v>
      </c>
      <c r="B995" s="1">
        <v>45318.274305555555</v>
      </c>
      <c r="C995" t="s">
        <v>30</v>
      </c>
      <c r="D995" s="9" t="s">
        <v>26</v>
      </c>
      <c r="E995" s="2">
        <v>45534</v>
      </c>
      <c r="F995" t="b">
        <v>1</v>
      </c>
      <c r="G995" t="s">
        <v>723</v>
      </c>
      <c r="H995">
        <v>1</v>
      </c>
      <c r="I995">
        <v>1</v>
      </c>
      <c r="J995">
        <v>2</v>
      </c>
      <c r="K995">
        <v>505</v>
      </c>
      <c r="L995">
        <v>2</v>
      </c>
    </row>
    <row r="996" spans="1:12">
      <c r="A996" t="s">
        <v>1024</v>
      </c>
      <c r="B996" s="1">
        <v>45511</v>
      </c>
      <c r="C996" t="s">
        <v>37</v>
      </c>
      <c r="D996" s="9" t="s">
        <v>26</v>
      </c>
      <c r="E996" s="2">
        <v>45534</v>
      </c>
      <c r="F996" t="b">
        <v>0</v>
      </c>
      <c r="G996" t="s">
        <v>723</v>
      </c>
      <c r="H996">
        <v>1</v>
      </c>
      <c r="I996">
        <v>25</v>
      </c>
      <c r="J996">
        <v>3</v>
      </c>
      <c r="K996">
        <v>446</v>
      </c>
      <c r="L996">
        <v>1</v>
      </c>
    </row>
    <row r="997" spans="1:12">
      <c r="A997" t="s">
        <v>1025</v>
      </c>
      <c r="B997" s="1">
        <v>45597</v>
      </c>
      <c r="C997" t="s">
        <v>30</v>
      </c>
      <c r="D997" s="9" t="s">
        <v>14</v>
      </c>
      <c r="E997" s="2">
        <v>45534</v>
      </c>
      <c r="F997" t="b">
        <v>1</v>
      </c>
      <c r="G997" t="s">
        <v>723</v>
      </c>
      <c r="H997">
        <v>1</v>
      </c>
      <c r="I997">
        <v>1</v>
      </c>
      <c r="J997">
        <v>1</v>
      </c>
      <c r="K997">
        <v>360</v>
      </c>
      <c r="L997">
        <v>1</v>
      </c>
    </row>
    <row r="998" spans="1:12">
      <c r="A998" t="s">
        <v>1026</v>
      </c>
      <c r="B998" s="1">
        <v>45537.97152777778</v>
      </c>
      <c r="C998" t="s">
        <v>33</v>
      </c>
      <c r="D998" s="9" t="s">
        <v>26</v>
      </c>
      <c r="E998" s="2">
        <v>45534</v>
      </c>
      <c r="F998" t="b">
        <v>1</v>
      </c>
      <c r="G998" t="s">
        <v>723</v>
      </c>
      <c r="H998">
        <v>1</v>
      </c>
      <c r="I998">
        <v>1</v>
      </c>
      <c r="J998">
        <v>10</v>
      </c>
      <c r="K998">
        <v>631</v>
      </c>
      <c r="L998">
        <v>0</v>
      </c>
    </row>
    <row r="999" spans="1:12">
      <c r="A999" t="s">
        <v>1027</v>
      </c>
      <c r="B999" s="1">
        <v>45552.849305555559</v>
      </c>
      <c r="C999" t="s">
        <v>13</v>
      </c>
      <c r="D999" s="9" t="s">
        <v>14</v>
      </c>
      <c r="E999" s="2">
        <v>45532</v>
      </c>
      <c r="F999" t="b">
        <v>0</v>
      </c>
      <c r="G999" t="s">
        <v>723</v>
      </c>
      <c r="H999">
        <v>1</v>
      </c>
      <c r="I999">
        <v>21</v>
      </c>
      <c r="J999">
        <v>1</v>
      </c>
      <c r="K999">
        <v>661</v>
      </c>
      <c r="L999">
        <v>2</v>
      </c>
    </row>
    <row r="1000" spans="1:12">
      <c r="A1000" t="s">
        <v>1028</v>
      </c>
      <c r="B1000" s="1">
        <v>45444.725694444445</v>
      </c>
      <c r="C1000" t="s">
        <v>24</v>
      </c>
      <c r="D1000" s="9" t="s">
        <v>26</v>
      </c>
      <c r="E1000" s="2">
        <v>45515</v>
      </c>
      <c r="F1000" t="b">
        <v>0</v>
      </c>
      <c r="G1000" t="s">
        <v>723</v>
      </c>
      <c r="H1000">
        <v>1</v>
      </c>
      <c r="I1000">
        <v>19</v>
      </c>
      <c r="J1000">
        <v>4</v>
      </c>
      <c r="K1000">
        <v>517</v>
      </c>
      <c r="L1000">
        <v>2</v>
      </c>
    </row>
    <row r="1001" spans="1:12">
      <c r="A1001" t="s">
        <v>1029</v>
      </c>
      <c r="B1001" s="1">
        <v>45558.201388888891</v>
      </c>
      <c r="C1001" t="s">
        <v>13</v>
      </c>
      <c r="D1001" s="9" t="s">
        <v>26</v>
      </c>
      <c r="E1001" s="2">
        <v>45534</v>
      </c>
      <c r="F1001" t="b">
        <v>1</v>
      </c>
      <c r="G1001" t="s">
        <v>723</v>
      </c>
      <c r="H1001">
        <v>1</v>
      </c>
      <c r="I1001">
        <v>1</v>
      </c>
      <c r="J1001">
        <v>1</v>
      </c>
      <c r="K1001">
        <v>604</v>
      </c>
      <c r="L10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3B3E-88FE-4E4F-BE57-60BBF85FBF90}">
  <dimension ref="A1:B11"/>
  <sheetViews>
    <sheetView workbookViewId="0">
      <selection activeCell="E20" sqref="E20"/>
    </sheetView>
  </sheetViews>
  <sheetFormatPr defaultRowHeight="14.4"/>
  <cols>
    <col min="1" max="1" width="30.77734375" customWidth="1"/>
    <col min="2" max="2" width="13.6640625" customWidth="1"/>
  </cols>
  <sheetData>
    <row r="1" spans="1:2">
      <c r="A1" s="4" t="s">
        <v>1030</v>
      </c>
      <c r="B1" s="4" t="s">
        <v>1031</v>
      </c>
    </row>
    <row r="2" spans="1:2" ht="16.2" customHeight="1">
      <c r="A2" s="5" t="s">
        <v>1032</v>
      </c>
      <c r="B2" s="6">
        <v>45292</v>
      </c>
    </row>
    <row r="3" spans="1:2" ht="17.399999999999999" customHeight="1">
      <c r="A3" s="5" t="s">
        <v>1033</v>
      </c>
      <c r="B3" s="3">
        <v>12</v>
      </c>
    </row>
    <row r="4" spans="1:2" ht="15.6" customHeight="1">
      <c r="A4" s="5" t="s">
        <v>1034</v>
      </c>
      <c r="B4" s="3">
        <v>10000</v>
      </c>
    </row>
    <row r="5" spans="1:2" ht="16.2" customHeight="1">
      <c r="A5" s="5" t="s">
        <v>1035</v>
      </c>
      <c r="B5" s="3">
        <v>0.8</v>
      </c>
    </row>
    <row r="6" spans="1:2" ht="16.2" customHeight="1">
      <c r="A6" s="5" t="s">
        <v>1046</v>
      </c>
      <c r="B6" s="3">
        <v>0</v>
      </c>
    </row>
    <row r="7" spans="1:2" ht="16.2" customHeight="1">
      <c r="A7" s="5" t="s">
        <v>1047</v>
      </c>
      <c r="B7" s="3">
        <v>20</v>
      </c>
    </row>
    <row r="8" spans="1:2" ht="16.8" customHeight="1">
      <c r="A8" s="5" t="s">
        <v>1051</v>
      </c>
      <c r="B8" s="3">
        <v>200</v>
      </c>
    </row>
    <row r="9" spans="1:2" ht="14.4" customHeight="1">
      <c r="A9" s="5" t="s">
        <v>1048</v>
      </c>
      <c r="B9" s="3">
        <v>0.1</v>
      </c>
    </row>
    <row r="10" spans="1:2" ht="14.4" customHeight="1">
      <c r="A10" s="5" t="s">
        <v>1049</v>
      </c>
      <c r="B10" s="3">
        <v>0.04</v>
      </c>
    </row>
    <row r="11" spans="1:2" ht="15.6" customHeight="1">
      <c r="A11" s="5" t="s">
        <v>1050</v>
      </c>
      <c r="B11" s="3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0DF0-E9B7-4CF4-935D-D48106E50EFE}">
  <dimension ref="A1:I13"/>
  <sheetViews>
    <sheetView workbookViewId="0">
      <selection activeCell="H17" sqref="H17"/>
    </sheetView>
  </sheetViews>
  <sheetFormatPr defaultRowHeight="14.4"/>
  <cols>
    <col min="1" max="1" width="10.33203125" bestFit="1" customWidth="1"/>
    <col min="2" max="2" width="19.77734375" customWidth="1"/>
    <col min="3" max="3" width="12.6640625" customWidth="1"/>
    <col min="4" max="4" width="11.5546875" customWidth="1"/>
    <col min="6" max="6" width="12" bestFit="1" customWidth="1"/>
    <col min="8" max="8" width="15" customWidth="1"/>
    <col min="9" max="9" width="19.33203125" customWidth="1"/>
  </cols>
  <sheetData>
    <row r="1" spans="1:9" s="7" customFormat="1">
      <c r="A1" s="12" t="s">
        <v>1036</v>
      </c>
      <c r="B1" s="12" t="s">
        <v>1037</v>
      </c>
      <c r="C1" s="12" t="s">
        <v>1044</v>
      </c>
      <c r="D1" s="12" t="s">
        <v>1045</v>
      </c>
      <c r="E1" s="12" t="s">
        <v>1052</v>
      </c>
      <c r="F1" s="12" t="s">
        <v>1053</v>
      </c>
      <c r="H1" s="4" t="s">
        <v>1054</v>
      </c>
      <c r="I1" s="4" t="s">
        <v>1055</v>
      </c>
    </row>
    <row r="2" spans="1:9">
      <c r="A2" s="13" t="s">
        <v>1038</v>
      </c>
      <c r="B2" s="7">
        <f>COUNTIF(Users_Data!$G:$G, $A2)</f>
        <v>0</v>
      </c>
      <c r="C2" s="7">
        <f>COUNTIFS(Users_Data!$G:$G, $A2, Users_Data!$D:$D, "Pro")</f>
        <v>0</v>
      </c>
      <c r="D2" s="7">
        <f>COUNTIFS(Users_Data!$G:$G, $A2, Users_Data!$D:$D, "Enterprise")</f>
        <v>0</v>
      </c>
      <c r="E2" s="7">
        <f xml:space="preserve"> C2*Inputs_Assumptions!$B7 + D2*Inputs_Assumptions!$B8</f>
        <v>0</v>
      </c>
      <c r="F2" s="7">
        <f>IF(B2=0, 0, Inputs_Assumptions!$B4 / B2)</f>
        <v>0</v>
      </c>
      <c r="H2" s="3" t="s">
        <v>20</v>
      </c>
      <c r="I2" s="14">
        <f>Inputs_Assumptions!$B7*Inputs_Assumptions!$B5/Inputs_Assumptions!$B10</f>
        <v>400</v>
      </c>
    </row>
    <row r="3" spans="1:9">
      <c r="A3" s="13" t="s">
        <v>1039</v>
      </c>
      <c r="B3" s="7">
        <f>COUNTIF(Users_Data!$G:$G, $A3)</f>
        <v>0</v>
      </c>
      <c r="C3" s="7">
        <f>C2*(1-Inputs_Assumptions!$B10) + COUNTIFS(Users_Data!$G:$G, $A3, Users_Data!$D:$D, "Pro")</f>
        <v>0</v>
      </c>
      <c r="D3" s="7">
        <f>D2*(1-Inputs_Assumptions!$B10) + COUNTIFS(Users_Data!$G:$G, $A3, Users_Data!$D:$D, "Enterprise")</f>
        <v>0</v>
      </c>
      <c r="E3" s="7">
        <f xml:space="preserve"> C3*Inputs_Assumptions!$B8 + D3*Inputs_Assumptions!$B9</f>
        <v>0</v>
      </c>
      <c r="F3" s="7">
        <f>IF(B3=0, 0, Inputs_Assumptions!$B5 / B3)</f>
        <v>0</v>
      </c>
      <c r="H3" s="3" t="s">
        <v>17</v>
      </c>
      <c r="I3" s="14">
        <f>Inputs_Assumptions!$B8*Inputs_Assumptions!$B5/Inputs_Assumptions!$B11</f>
        <v>8000</v>
      </c>
    </row>
    <row r="4" spans="1:9">
      <c r="A4" s="13" t="s">
        <v>15</v>
      </c>
      <c r="B4" s="7">
        <f>COUNTIF(Users_Data!$G:$G, $A4)</f>
        <v>64</v>
      </c>
      <c r="C4" s="7">
        <f>C3*(1-Inputs_Assumptions!$B11) + COUNTIFS(Users_Data!$G:$G, $A4, Users_Data!$D:$D, "Pro")</f>
        <v>9</v>
      </c>
      <c r="D4" s="7">
        <f>D3*(1-Inputs_Assumptions!$B11) + COUNTIFS(Users_Data!$G:$G, $A4, Users_Data!$D:$D, "Enterprise")</f>
        <v>11</v>
      </c>
      <c r="E4" s="7">
        <f xml:space="preserve"> C4*Inputs_Assumptions!$B9 + D4*Inputs_Assumptions!$B10</f>
        <v>1.34</v>
      </c>
      <c r="F4" s="7">
        <f>IF(B4=0, 0, Inputs_Assumptions!$B6 / B4)</f>
        <v>0</v>
      </c>
      <c r="H4" s="5"/>
      <c r="I4" s="10"/>
    </row>
    <row r="5" spans="1:9">
      <c r="A5" s="13" t="s">
        <v>90</v>
      </c>
      <c r="B5" s="7">
        <f>COUNTIF(Users_Data!$G:$G, $A5)</f>
        <v>100</v>
      </c>
      <c r="C5" s="7">
        <f>C4*(1-Inputs_Assumptions!$B12) + COUNTIFS(Users_Data!$G:$G, $A5, Users_Data!$D:$D, "Pro")</f>
        <v>22</v>
      </c>
      <c r="D5" s="7">
        <f>D4*(1-Inputs_Assumptions!$B12) + COUNTIFS(Users_Data!$G:$G, $A5, Users_Data!$D:$D, "Enterprise")</f>
        <v>19</v>
      </c>
      <c r="E5" s="7">
        <f xml:space="preserve"> C5*Inputs_Assumptions!$B10 + D5*Inputs_Assumptions!$B11</f>
        <v>1.26</v>
      </c>
      <c r="F5" s="7">
        <f>IF(B5=0, 0, Inputs_Assumptions!$B7 / B5)</f>
        <v>0.2</v>
      </c>
    </row>
    <row r="6" spans="1:9">
      <c r="A6" s="13" t="s">
        <v>191</v>
      </c>
      <c r="B6" s="7">
        <f>COUNTIF(Users_Data!$G:$G, $A6)</f>
        <v>121</v>
      </c>
      <c r="C6" s="7">
        <f>C5*(1-Inputs_Assumptions!$B13) + COUNTIFS(Users_Data!$G:$G, $A6, Users_Data!$D:$D, "Pro")</f>
        <v>42</v>
      </c>
      <c r="D6" s="7">
        <f>D5*(1-Inputs_Assumptions!$B13) + COUNTIFS(Users_Data!$G:$G, $A6, Users_Data!$D:$D, "Enterprise")</f>
        <v>32</v>
      </c>
      <c r="E6" s="7">
        <f xml:space="preserve"> C6*Inputs_Assumptions!$B11 + D6*Inputs_Assumptions!$B12</f>
        <v>0.84</v>
      </c>
      <c r="F6" s="7">
        <f>IF(B6=0, 0, Inputs_Assumptions!$B8 / B6)</f>
        <v>1.6528925619834711</v>
      </c>
    </row>
    <row r="7" spans="1:9">
      <c r="A7" s="13" t="s">
        <v>313</v>
      </c>
      <c r="B7" s="7">
        <f>COUNTIF(Users_Data!$G:$G, $A7)</f>
        <v>166</v>
      </c>
      <c r="C7" s="7">
        <f>C6*(1-Inputs_Assumptions!$B14) + COUNTIFS(Users_Data!$G:$G, $A7, Users_Data!$D:$D, "Pro")</f>
        <v>73</v>
      </c>
      <c r="D7" s="7">
        <f>D6*(1-Inputs_Assumptions!$B14) + COUNTIFS(Users_Data!$G:$G, $A7, Users_Data!$D:$D, "Enterprise")</f>
        <v>40</v>
      </c>
      <c r="E7" s="7">
        <f xml:space="preserve"> C7*Inputs_Assumptions!$B12 + D7*Inputs_Assumptions!$B13</f>
        <v>0</v>
      </c>
      <c r="F7" s="7">
        <f>IF(B7=0, 0, Inputs_Assumptions!$B9 / B7)</f>
        <v>6.0240963855421692E-4</v>
      </c>
    </row>
    <row r="8" spans="1:9">
      <c r="A8" s="13" t="s">
        <v>480</v>
      </c>
      <c r="B8" s="7">
        <f>COUNTIF(Users_Data!$G:$G, $A8)</f>
        <v>242</v>
      </c>
      <c r="C8" s="7">
        <f>C7*(1-Inputs_Assumptions!$B15) + COUNTIFS(Users_Data!$G:$G, $A8, Users_Data!$D:$D, "Pro")</f>
        <v>118</v>
      </c>
      <c r="D8" s="7">
        <f>D7*(1-Inputs_Assumptions!$B15) + COUNTIFS(Users_Data!$G:$G, $A8, Users_Data!$D:$D, "Enterprise")</f>
        <v>60</v>
      </c>
      <c r="E8" s="7">
        <f xml:space="preserve"> C8*Inputs_Assumptions!$B13 + D8*Inputs_Assumptions!$B14</f>
        <v>0</v>
      </c>
      <c r="F8" s="7">
        <f>IF(B8=0, 0, Inputs_Assumptions!$B10 / B8)</f>
        <v>1.6528925619834712E-4</v>
      </c>
    </row>
    <row r="9" spans="1:9">
      <c r="A9" s="13" t="s">
        <v>723</v>
      </c>
      <c r="B9" s="7">
        <f>COUNTIF(Users_Data!$G:$G, $A9)</f>
        <v>307</v>
      </c>
      <c r="C9" s="7">
        <f>C8*(1-Inputs_Assumptions!$B16) + COUNTIFS(Users_Data!$G:$G, $A9, Users_Data!$D:$D, "Pro")</f>
        <v>189</v>
      </c>
      <c r="D9" s="7">
        <f>D8*(1-Inputs_Assumptions!$B16) + COUNTIFS(Users_Data!$G:$G, $A9, Users_Data!$D:$D, "Enterprise")</f>
        <v>77</v>
      </c>
      <c r="E9" s="7">
        <f xml:space="preserve"> C9*Inputs_Assumptions!$B14 + D9*Inputs_Assumptions!$B15</f>
        <v>0</v>
      </c>
      <c r="F9" s="15">
        <f>IF(B9=0, 0, Inputs_Assumptions!$B11 / B9)</f>
        <v>6.5146579804560255E-5</v>
      </c>
    </row>
    <row r="10" spans="1:9">
      <c r="A10" s="13" t="s">
        <v>1040</v>
      </c>
      <c r="B10" s="7">
        <f>COUNTIF(Users_Data!$G:$G, $A10)</f>
        <v>0</v>
      </c>
      <c r="C10" s="7">
        <f>C9*(1-Inputs_Assumptions!$B17) + COUNTIFS(Users_Data!$G:$G, $A10, Users_Data!$D:$D, "Pro")</f>
        <v>189</v>
      </c>
      <c r="D10" s="7">
        <f>D9*(1-Inputs_Assumptions!$B17) + COUNTIFS(Users_Data!$G:$G, $A10, Users_Data!$D:$D, "Enterprise")</f>
        <v>77</v>
      </c>
      <c r="E10" s="7">
        <f xml:space="preserve"> C10*Inputs_Assumptions!$B15 + D10*Inputs_Assumptions!$B16</f>
        <v>0</v>
      </c>
      <c r="F10" s="7">
        <f>IF(B10=0, 0, Inputs_Assumptions!$B12 / B10)</f>
        <v>0</v>
      </c>
    </row>
    <row r="11" spans="1:9">
      <c r="A11" s="13" t="s">
        <v>1041</v>
      </c>
      <c r="B11" s="7">
        <f>COUNTIF(Users_Data!$G:$G, $A11)</f>
        <v>0</v>
      </c>
      <c r="C11" s="7">
        <f>C10*(1-Inputs_Assumptions!$B18) + COUNTIFS(Users_Data!$G:$G, $A11, Users_Data!$D:$D, "Pro")</f>
        <v>189</v>
      </c>
      <c r="D11" s="7">
        <f>D10*(1-Inputs_Assumptions!$B18) + COUNTIFS(Users_Data!$G:$G, $A11, Users_Data!$D:$D, "Enterprise")</f>
        <v>77</v>
      </c>
      <c r="E11" s="7">
        <f xml:space="preserve"> C11*Inputs_Assumptions!$B16 + D11*Inputs_Assumptions!$B17</f>
        <v>0</v>
      </c>
      <c r="F11" s="7">
        <f>IF(B11=0, 0, Inputs_Assumptions!$B13 / B11)</f>
        <v>0</v>
      </c>
    </row>
    <row r="12" spans="1:9">
      <c r="A12" s="13" t="s">
        <v>1042</v>
      </c>
      <c r="B12" s="7">
        <f>COUNTIF(Users_Data!$G:$G, $A12)</f>
        <v>0</v>
      </c>
      <c r="C12" s="7">
        <f>C11*(1-Inputs_Assumptions!$B19) + COUNTIFS(Users_Data!$G:$G, $A12, Users_Data!$D:$D, "Pro")</f>
        <v>189</v>
      </c>
      <c r="D12" s="7">
        <f>D11*(1-Inputs_Assumptions!$B19) + COUNTIFS(Users_Data!$G:$G, $A12, Users_Data!$D:$D, "Enterprise")</f>
        <v>77</v>
      </c>
      <c r="E12" s="7">
        <f xml:space="preserve"> C12*Inputs_Assumptions!$B17 + D12*Inputs_Assumptions!$B18</f>
        <v>0</v>
      </c>
      <c r="F12" s="7">
        <f>IF(B12=0, 0, Inputs_Assumptions!$B14 / B12)</f>
        <v>0</v>
      </c>
    </row>
    <row r="13" spans="1:9">
      <c r="A13" s="13" t="s">
        <v>1043</v>
      </c>
      <c r="B13" s="7">
        <f>COUNTIF(Users_Data!$G:$G, $A13)</f>
        <v>0</v>
      </c>
      <c r="C13" s="7">
        <f>C12*(1-Inputs_Assumptions!$B20) + COUNTIFS(Users_Data!$G:$G, $A13, Users_Data!$D:$D, "Pro")</f>
        <v>189</v>
      </c>
      <c r="D13" s="7">
        <f>D12*(1-Inputs_Assumptions!$B20) + COUNTIFS(Users_Data!$G:$G, $A13, Users_Data!$D:$D, "Enterprise")</f>
        <v>77</v>
      </c>
      <c r="E13" s="7">
        <f xml:space="preserve"> C13*Inputs_Assumptions!$B18 + D13*Inputs_Assumptions!$B19</f>
        <v>0</v>
      </c>
      <c r="F13" s="7">
        <f>IF(B13=0, 0, Inputs_Assumptions!$B15 / B13)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4AB4-C544-42CD-AC18-6E657E6DA60C}">
  <dimension ref="A1:F15"/>
  <sheetViews>
    <sheetView workbookViewId="0">
      <selection activeCell="K10" sqref="K10"/>
    </sheetView>
  </sheetViews>
  <sheetFormatPr defaultRowHeight="14.4"/>
  <cols>
    <col min="1" max="1" width="9.109375" customWidth="1"/>
    <col min="2" max="2" width="18.44140625" customWidth="1"/>
    <col min="3" max="3" width="11.88671875" customWidth="1"/>
    <col min="4" max="4" width="13.88671875" customWidth="1"/>
  </cols>
  <sheetData>
    <row r="1" spans="1:6" ht="18">
      <c r="A1" s="11" t="s">
        <v>1056</v>
      </c>
    </row>
    <row r="3" spans="1:6">
      <c r="A3" s="12" t="s">
        <v>1036</v>
      </c>
      <c r="B3" s="12" t="s">
        <v>1037</v>
      </c>
      <c r="C3" s="12" t="s">
        <v>1044</v>
      </c>
      <c r="D3" s="12" t="s">
        <v>1045</v>
      </c>
      <c r="E3" s="12" t="s">
        <v>1052</v>
      </c>
      <c r="F3" s="12" t="s">
        <v>1053</v>
      </c>
    </row>
    <row r="4" spans="1:6">
      <c r="A4" s="13" t="s">
        <v>1038</v>
      </c>
      <c r="B4" s="7">
        <f>COUNTIF(Users_Data!$G:$G, $A4)</f>
        <v>0</v>
      </c>
      <c r="C4" s="7">
        <f>COUNTIFS(Users_Data!$G:$G, $A4, Users_Data!$D:$D, "Pro")</f>
        <v>0</v>
      </c>
      <c r="D4" s="7">
        <f>COUNTIFS(Users_Data!$G:$G, $A4, Users_Data!$D:$D, "Enterprise")</f>
        <v>0</v>
      </c>
      <c r="E4" s="7">
        <f xml:space="preserve"> C4*Inputs_Assumptions!$B9 + D4*Inputs_Assumptions!$B10</f>
        <v>0</v>
      </c>
      <c r="F4" s="7">
        <f>IF(B4=0, 0, Inputs_Assumptions!$B6 / B4)</f>
        <v>0</v>
      </c>
    </row>
    <row r="5" spans="1:6">
      <c r="A5" s="13" t="s">
        <v>1039</v>
      </c>
      <c r="B5" s="7">
        <f>COUNTIF(Users_Data!$G:$G, $A5)</f>
        <v>0</v>
      </c>
      <c r="C5" s="7">
        <f>C4*(1-Inputs_Assumptions!$B12) + COUNTIFS(Users_Data!$G:$G, $A5, Users_Data!$D:$D, "Pro")</f>
        <v>0</v>
      </c>
      <c r="D5" s="7">
        <f>D4*(1-Inputs_Assumptions!$B12) + COUNTIFS(Users_Data!$G:$G, $A5, Users_Data!$D:$D, "Enterprise")</f>
        <v>0</v>
      </c>
      <c r="E5" s="7">
        <f xml:space="preserve"> C5*Inputs_Assumptions!$B10 + D5*Inputs_Assumptions!$B11</f>
        <v>0</v>
      </c>
      <c r="F5" s="7">
        <f>IF(B5=0, 0, Inputs_Assumptions!$B7 / B5)</f>
        <v>0</v>
      </c>
    </row>
    <row r="6" spans="1:6">
      <c r="A6" s="13" t="s">
        <v>15</v>
      </c>
      <c r="B6" s="7">
        <f>COUNTIF(Users_Data!$G:$G, $A6)</f>
        <v>64</v>
      </c>
      <c r="C6" s="7">
        <f>C5*(1-Inputs_Assumptions!$B13) + COUNTIFS(Users_Data!$G:$G, $A6, Users_Data!$D:$D, "Pro")</f>
        <v>9</v>
      </c>
      <c r="D6" s="7">
        <f>D5*(1-Inputs_Assumptions!$B13) + COUNTIFS(Users_Data!$G:$G, $A6, Users_Data!$D:$D, "Enterprise")</f>
        <v>11</v>
      </c>
      <c r="E6" s="7">
        <v>1.34</v>
      </c>
      <c r="F6" s="7">
        <v>0</v>
      </c>
    </row>
    <row r="7" spans="1:6">
      <c r="A7" s="13" t="s">
        <v>90</v>
      </c>
      <c r="B7" s="7">
        <f>COUNTIF(Users_Data!$G:$G, $A7)</f>
        <v>100</v>
      </c>
      <c r="C7" s="7">
        <f>C6*(1-Inputs_Assumptions!$B14) + COUNTIFS(Users_Data!$G:$G, $A7, Users_Data!$D:$D, "Pro")</f>
        <v>22</v>
      </c>
      <c r="D7" s="7">
        <f>D6*(1-Inputs_Assumptions!$B14) + COUNTIFS(Users_Data!$G:$G, $A7, Users_Data!$D:$D, "Enterprise")</f>
        <v>19</v>
      </c>
      <c r="E7" s="7">
        <v>1.26</v>
      </c>
      <c r="F7" s="7">
        <v>0.2</v>
      </c>
    </row>
    <row r="8" spans="1:6">
      <c r="A8" s="13" t="s">
        <v>191</v>
      </c>
      <c r="B8" s="7">
        <f>COUNTIF(Users_Data!$G:$G, $A8)</f>
        <v>121</v>
      </c>
      <c r="C8" s="7">
        <f>C7*(1-Inputs_Assumptions!$B15) + COUNTIFS(Users_Data!$G:$G, $A8, Users_Data!$D:$D, "Pro")</f>
        <v>42</v>
      </c>
      <c r="D8" s="7">
        <f>D7*(1-Inputs_Assumptions!$B15) + COUNTIFS(Users_Data!$G:$G, $A8, Users_Data!$D:$D, "Enterprise")</f>
        <v>32</v>
      </c>
      <c r="E8" s="7">
        <v>0.84</v>
      </c>
      <c r="F8" s="7">
        <v>1.6528929999999999</v>
      </c>
    </row>
    <row r="9" spans="1:6">
      <c r="A9" s="13" t="s">
        <v>313</v>
      </c>
      <c r="B9" s="7">
        <f>COUNTIF(Users_Data!$G:$G, $A9)</f>
        <v>166</v>
      </c>
      <c r="C9" s="7">
        <f>C8*(1-Inputs_Assumptions!$B16) + COUNTIFS(Users_Data!$G:$G, $A9, Users_Data!$D:$D, "Pro")</f>
        <v>73</v>
      </c>
      <c r="D9" s="7">
        <f>D8*(1-Inputs_Assumptions!$B16) + COUNTIFS(Users_Data!$G:$G, $A9, Users_Data!$D:$D, "Enterprise")</f>
        <v>40</v>
      </c>
      <c r="E9" s="7">
        <f xml:space="preserve"> C9*Inputs_Assumptions!$B14 + D9*Inputs_Assumptions!$B15</f>
        <v>0</v>
      </c>
      <c r="F9" s="7">
        <v>6.02E-4</v>
      </c>
    </row>
    <row r="10" spans="1:6">
      <c r="A10" s="13" t="s">
        <v>480</v>
      </c>
      <c r="B10" s="7">
        <f>COUNTIF(Users_Data!$G:$G, $A10)</f>
        <v>242</v>
      </c>
      <c r="C10" s="7">
        <f>C9*(1-Inputs_Assumptions!$B17) + COUNTIFS(Users_Data!$G:$G, $A10, Users_Data!$D:$D, "Pro")</f>
        <v>118</v>
      </c>
      <c r="D10" s="7">
        <f>D9*(1-Inputs_Assumptions!$B17) + COUNTIFS(Users_Data!$G:$G, $A10, Users_Data!$D:$D, "Enterprise")</f>
        <v>60</v>
      </c>
      <c r="E10" s="7">
        <f xml:space="preserve"> C10*Inputs_Assumptions!$B15 + D10*Inputs_Assumptions!$B16</f>
        <v>0</v>
      </c>
      <c r="F10" s="7">
        <v>1.65E-4</v>
      </c>
    </row>
    <row r="11" spans="1:6">
      <c r="A11" s="13" t="s">
        <v>723</v>
      </c>
      <c r="B11" s="7">
        <f>COUNTIF(Users_Data!$G:$G, $A11)</f>
        <v>307</v>
      </c>
      <c r="C11" s="7">
        <f>C10*(1-Inputs_Assumptions!$B18) + COUNTIFS(Users_Data!$G:$G, $A11, Users_Data!$D:$D, "Pro")</f>
        <v>189</v>
      </c>
      <c r="D11" s="7">
        <f>D10*(1-Inputs_Assumptions!$B18) + COUNTIFS(Users_Data!$G:$G, $A11, Users_Data!$D:$D, "Enterprise")</f>
        <v>77</v>
      </c>
      <c r="E11" s="7">
        <f xml:space="preserve"> C11*Inputs_Assumptions!$B16 + D11*Inputs_Assumptions!$B17</f>
        <v>0</v>
      </c>
      <c r="F11" s="15">
        <v>6.5146600000000001</v>
      </c>
    </row>
    <row r="12" spans="1:6">
      <c r="A12" s="13" t="s">
        <v>1040</v>
      </c>
      <c r="B12" s="7">
        <f>COUNTIF(Users_Data!$G:$G, $A12)</f>
        <v>0</v>
      </c>
      <c r="C12" s="7">
        <f>C11*(1-Inputs_Assumptions!$B19) + COUNTIFS(Users_Data!$G:$G, $A12, Users_Data!$D:$D, "Pro")</f>
        <v>189</v>
      </c>
      <c r="D12" s="7">
        <f>D11*(1-Inputs_Assumptions!$B19) + COUNTIFS(Users_Data!$G:$G, $A12, Users_Data!$D:$D, "Enterprise")</f>
        <v>77</v>
      </c>
      <c r="E12" s="7">
        <f xml:space="preserve"> C12*Inputs_Assumptions!$B17 + D12*Inputs_Assumptions!$B18</f>
        <v>0</v>
      </c>
      <c r="F12" s="7">
        <f>IF(B12=0, 0, Inputs_Assumptions!$B14 / B12)</f>
        <v>0</v>
      </c>
    </row>
    <row r="13" spans="1:6">
      <c r="A13" s="13" t="s">
        <v>1041</v>
      </c>
      <c r="B13" s="7">
        <f>COUNTIF(Users_Data!$G:$G, $A13)</f>
        <v>0</v>
      </c>
      <c r="C13" s="7">
        <f>C12*(1-Inputs_Assumptions!$B20) + COUNTIFS(Users_Data!$G:$G, $A13, Users_Data!$D:$D, "Pro")</f>
        <v>189</v>
      </c>
      <c r="D13" s="7">
        <f>D12*(1-Inputs_Assumptions!$B20) + COUNTIFS(Users_Data!$G:$G, $A13, Users_Data!$D:$D, "Enterprise")</f>
        <v>77</v>
      </c>
      <c r="E13" s="7">
        <f xml:space="preserve"> C13*Inputs_Assumptions!$B18 + D13*Inputs_Assumptions!$B19</f>
        <v>0</v>
      </c>
      <c r="F13" s="7">
        <f>IF(B13=0, 0, Inputs_Assumptions!$B15 / B13)</f>
        <v>0</v>
      </c>
    </row>
    <row r="14" spans="1:6">
      <c r="A14" s="13" t="s">
        <v>1042</v>
      </c>
      <c r="B14" s="7">
        <f>COUNTIF(Users_Data!$G:$G, $A14)</f>
        <v>0</v>
      </c>
      <c r="C14" s="7">
        <f>C13*(1-Inputs_Assumptions!$B21) + COUNTIFS(Users_Data!$G:$G, $A14, Users_Data!$D:$D, "Pro")</f>
        <v>189</v>
      </c>
      <c r="D14" s="7">
        <f>D13*(1-Inputs_Assumptions!$B21) + COUNTIFS(Users_Data!$G:$G, $A14, Users_Data!$D:$D, "Enterprise")</f>
        <v>77</v>
      </c>
      <c r="E14" s="7">
        <f xml:space="preserve"> C14*Inputs_Assumptions!$B19 + D14*Inputs_Assumptions!$B20</f>
        <v>0</v>
      </c>
      <c r="F14" s="7">
        <f>IF(B14=0, 0, Inputs_Assumptions!$B16 / B14)</f>
        <v>0</v>
      </c>
    </row>
    <row r="15" spans="1:6">
      <c r="A15" s="13" t="s">
        <v>1043</v>
      </c>
      <c r="B15" s="7">
        <f>COUNTIF(Users_Data!$G:$G, $A15)</f>
        <v>0</v>
      </c>
      <c r="C15" s="7">
        <f>C14*(1-Inputs_Assumptions!$B22) + COUNTIFS(Users_Data!$G:$G, $A15, Users_Data!$D:$D, "Pro")</f>
        <v>189</v>
      </c>
      <c r="D15" s="7">
        <f>D14*(1-Inputs_Assumptions!$B22) + COUNTIFS(Users_Data!$G:$G, $A15, Users_Data!$D:$D, "Enterprise")</f>
        <v>77</v>
      </c>
      <c r="E15" s="7">
        <f xml:space="preserve"> C15*Inputs_Assumptions!$B20 + D15*Inputs_Assumptions!$B21</f>
        <v>0</v>
      </c>
      <c r="F15" s="7">
        <f>IF(B15=0, 0, Inputs_Assumptions!$B17 / B15)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Users_Data</vt:lpstr>
      <vt:lpstr>Inputs_Assumptions</vt:lpstr>
      <vt:lpstr>Monthly_KPIs</vt:lpstr>
      <vt:lpstr>Summary_Charts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Pavan R V</cp:lastModifiedBy>
  <dcterms:created xsi:type="dcterms:W3CDTF">2015-06-05T18:17:20Z</dcterms:created>
  <dcterms:modified xsi:type="dcterms:W3CDTF">2025-11-27T10:30:29Z</dcterms:modified>
</cp:coreProperties>
</file>